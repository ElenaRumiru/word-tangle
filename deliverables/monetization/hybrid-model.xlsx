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del" sheetId="2" state="visible" r:id="rId2"/>
    <sheet name="Reven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"/>
    <numFmt numFmtId="166" formatCode="#,##0.0000"/>
    <numFmt numFmtId="167" formatCode="0.0%"/>
    <numFmt numFmtId="168" formatCode="$#,##0"/>
  </numFmts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4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applyAlignment="1" pivotButton="0" quotePrefix="0" xfId="0">
      <alignment horizontal="center" vertical="center"/>
    </xf>
    <xf numFmtId="0" fontId="3" fillId="5" borderId="1" pivotButton="0" quotePrefix="0" xfId="0"/>
    <xf numFmtId="166" fontId="0" fillId="5" borderId="1" applyAlignment="1" pivotButton="0" quotePrefix="0" xfId="0">
      <alignment horizontal="center" vertical="center"/>
    </xf>
    <xf numFmtId="0" fontId="3" fillId="0" borderId="0" pivotButton="0" quotePrefix="0" xfId="0"/>
    <xf numFmtId="167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wrapText="1"/>
    </xf>
    <xf numFmtId="0" fontId="3" fillId="0" borderId="1" pivotButton="0" quotePrefix="0" xfId="0"/>
    <xf numFmtId="168" fontId="0" fillId="0" borderId="1" applyAlignment="1" pivotButton="0" quotePrefix="0" xfId="0">
      <alignment horizontal="center" vertical="center"/>
    </xf>
    <xf numFmtId="168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44" customWidth="1" min="5" max="5"/>
  </cols>
  <sheetData>
    <row r="1">
      <c r="A1" s="1" t="inlineStr">
        <is>
          <t>Scroll Puzzle — Hybrid Monetization Model / Assumptions</t>
        </is>
      </c>
    </row>
    <row r="2">
      <c r="A2" s="2" t="inlineStr">
        <is>
          <t>Yellow = input (edit here). Everything else computes. Scale = post-UA-rampup, not current soft-launch.</t>
        </is>
      </c>
    </row>
    <row r="4">
      <c r="A4" s="3" t="inlineStr">
        <is>
          <t>Parameter</t>
        </is>
      </c>
      <c r="B4" s="4" t="inlineStr">
        <is>
          <t>Pessimistic</t>
        </is>
      </c>
      <c r="C4" s="4" t="inlineStr">
        <is>
          <t>Base</t>
        </is>
      </c>
      <c r="D4" s="4" t="inlineStr">
        <is>
          <t>Optimistic</t>
        </is>
      </c>
    </row>
    <row r="5">
      <c r="A5" s="5" t="inlineStr">
        <is>
          <t>Audience &amp; retention</t>
        </is>
      </c>
      <c r="B5" s="6" t="n"/>
      <c r="C5" s="6" t="n"/>
      <c r="D5" s="6" t="n"/>
      <c r="E5" s="6" t="n"/>
    </row>
    <row r="6">
      <c r="A6" t="inlineStr">
        <is>
          <t>DAU (post-rampup)</t>
        </is>
      </c>
      <c r="B6" s="7" t="n">
        <v>50000</v>
      </c>
      <c r="C6" s="7" t="n">
        <v>75000</v>
      </c>
      <c r="D6" s="7" t="n">
        <v>100000</v>
      </c>
      <c r="E6" s="2" t="inlineStr">
        <is>
          <t>daily active users</t>
        </is>
      </c>
    </row>
    <row r="7">
      <c r="A7" t="inlineStr">
        <is>
          <t>Retention D1</t>
        </is>
      </c>
      <c r="B7" s="8" t="n">
        <v>0.32</v>
      </c>
      <c r="C7" s="8" t="n">
        <v>0.38</v>
      </c>
      <c r="D7" s="8" t="n">
        <v>0.44</v>
      </c>
      <c r="E7" s="2" t="inlineStr">
        <is>
          <t>share</t>
        </is>
      </c>
    </row>
    <row r="8">
      <c r="A8" t="inlineStr">
        <is>
          <t>Retention D7</t>
        </is>
      </c>
      <c r="B8" s="8" t="n">
        <v>0.12</v>
      </c>
      <c r="C8" s="8" t="n">
        <v>0.16</v>
      </c>
      <c r="D8" s="8" t="n">
        <v>0.2</v>
      </c>
      <c r="E8" s="2" t="inlineStr">
        <is>
          <t>share</t>
        </is>
      </c>
    </row>
    <row r="9">
      <c r="A9" t="inlineStr">
        <is>
          <t>Retention D30</t>
        </is>
      </c>
      <c r="B9" s="9" t="n">
        <v>0.045</v>
      </c>
      <c r="C9" s="9" t="n">
        <v>0.065</v>
      </c>
      <c r="D9" s="9" t="n">
        <v>0.08500000000000001</v>
      </c>
      <c r="E9" s="2" t="inlineStr">
        <is>
          <t>share</t>
        </is>
      </c>
    </row>
    <row r="10">
      <c r="A10" t="inlineStr">
        <is>
          <t>Avg sessions / DAU</t>
        </is>
      </c>
      <c r="B10" s="7" t="n">
        <v>2.2</v>
      </c>
      <c r="C10" s="7" t="n">
        <v>2.8</v>
      </c>
      <c r="D10" s="7" t="n">
        <v>3.4</v>
      </c>
      <c r="E10" s="2" t="inlineStr">
        <is>
          <t>count</t>
        </is>
      </c>
    </row>
    <row r="11">
      <c r="A11" s="5" t="inlineStr">
        <is>
          <t>BEFORE — ads-only baseline</t>
        </is>
      </c>
      <c r="B11" s="6" t="n"/>
      <c r="C11" s="6" t="n"/>
      <c r="D11" s="6" t="n"/>
      <c r="E11" s="6" t="n"/>
    </row>
    <row r="12">
      <c r="A12" t="inlineStr">
        <is>
          <t>Interstitial impressions / DAU (before)</t>
        </is>
      </c>
      <c r="B12" s="7" t="n">
        <v>5.5</v>
      </c>
      <c r="C12" s="7" t="n">
        <v>6.5</v>
      </c>
      <c r="D12" s="7" t="n">
        <v>7.5</v>
      </c>
      <c r="E12" s="2" t="inlineStr">
        <is>
          <t>aggressive: post-level + mid-level</t>
        </is>
      </c>
    </row>
    <row r="13">
      <c r="A13" t="inlineStr">
        <is>
          <t>Interstitial eCPM ($)</t>
        </is>
      </c>
      <c r="B13" s="7" t="n">
        <v>7</v>
      </c>
      <c r="C13" s="7" t="n">
        <v>9</v>
      </c>
      <c r="D13" s="7" t="n">
        <v>11</v>
      </c>
      <c r="E13" s="2" t="inlineStr">
        <is>
          <t>blended geo, $/1000</t>
        </is>
      </c>
    </row>
    <row r="14">
      <c r="A14" t="inlineStr">
        <is>
          <t>Rewarded impressions / DAU (before)</t>
        </is>
      </c>
      <c r="B14" s="7" t="n">
        <v>0</v>
      </c>
      <c r="C14" s="7" t="n">
        <v>0</v>
      </c>
      <c r="D14" s="7" t="n">
        <v>0</v>
      </c>
      <c r="E14" s="2" t="inlineStr">
        <is>
          <t>no coin sink yet -&gt; ~0 rewarded</t>
        </is>
      </c>
    </row>
    <row r="15">
      <c r="A15" t="inlineStr">
        <is>
          <t>Rewarded eCPM ($)</t>
        </is>
      </c>
      <c r="B15" s="7" t="n">
        <v>15</v>
      </c>
      <c r="C15" s="7" t="n">
        <v>20</v>
      </c>
      <c r="D15" s="7" t="n">
        <v>25</v>
      </c>
      <c r="E15" s="2" t="inlineStr">
        <is>
          <t>$/1000</t>
        </is>
      </c>
    </row>
    <row r="16">
      <c r="A16" t="inlineStr">
        <is>
          <t>Banner ARPDAU ($)</t>
        </is>
      </c>
      <c r="B16" s="7" t="n">
        <v>0</v>
      </c>
      <c r="C16" s="7" t="n">
        <v>0</v>
      </c>
      <c r="D16" s="7" t="n">
        <v>0</v>
      </c>
      <c r="E16" s="2" t="inlineStr">
        <is>
          <t>not confirmed in listing; assume 0</t>
        </is>
      </c>
    </row>
    <row r="17">
      <c r="A17" s="5" t="inlineStr">
        <is>
          <t>U1 — Booster economy + rewarded</t>
        </is>
      </c>
      <c r="B17" s="6" t="n"/>
      <c r="C17" s="6" t="n"/>
      <c r="D17" s="6" t="n"/>
      <c r="E17" s="6" t="n"/>
    </row>
    <row r="18">
      <c r="A18" t="inlineStr">
        <is>
          <t>Rewarded impressions / DAU (after U1)</t>
        </is>
      </c>
      <c r="B18" s="8" t="n">
        <v>0.35</v>
      </c>
      <c r="C18" s="8" t="n">
        <v>0.55</v>
      </c>
      <c r="D18" s="8" t="n">
        <v>0.8</v>
      </c>
      <c r="E18" s="2" t="inlineStr">
        <is>
          <t>coins x2 + booster-for-view opt-in</t>
        </is>
      </c>
    </row>
    <row r="19">
      <c r="A19" t="inlineStr">
        <is>
          <t>Interstitial impr/DAU (after U1)</t>
        </is>
      </c>
      <c r="B19" s="7" t="n">
        <v>5.5</v>
      </c>
      <c r="C19" s="7" t="n">
        <v>6.5</v>
      </c>
      <c r="D19" s="7" t="n">
        <v>7.5</v>
      </c>
      <c r="E19" s="2" t="inlineStr">
        <is>
          <t>unchanged in U1 (softening is U2)</t>
        </is>
      </c>
    </row>
    <row r="20">
      <c r="A20" t="inlineStr">
        <is>
          <t>IAP conv. to payer — U1 (coin packs)</t>
        </is>
      </c>
      <c r="B20" s="9" t="n">
        <v>0.006</v>
      </c>
      <c r="C20" s="9" t="n">
        <v>0.01</v>
      </c>
      <c r="D20" s="9" t="n">
        <v>0.016</v>
      </c>
      <c r="E20" s="2" t="inlineStr">
        <is>
          <t>share of DAU paying/day</t>
        </is>
      </c>
    </row>
    <row r="21">
      <c r="A21" t="inlineStr">
        <is>
          <t>Avg IAP transaction value ($) — U1</t>
        </is>
      </c>
      <c r="B21" s="7" t="n">
        <v>3.2</v>
      </c>
      <c r="C21" s="7" t="n">
        <v>3.8</v>
      </c>
      <c r="D21" s="7" t="n">
        <v>4.5</v>
      </c>
      <c r="E21" s="2" t="inlineStr">
        <is>
          <t>coin-pack blended net-ish gross</t>
        </is>
      </c>
    </row>
    <row r="22">
      <c r="A22" s="5" t="inlineStr">
        <is>
          <t>U2 — Remove-ads SKU + interstitial softening</t>
        </is>
      </c>
      <c r="B22" s="6" t="n"/>
      <c r="C22" s="6" t="n"/>
      <c r="D22" s="6" t="n"/>
      <c r="E22" s="6" t="n"/>
    </row>
    <row r="23">
      <c r="A23" t="inlineStr">
        <is>
          <t>Interstitial impr/DAU (after U2)</t>
        </is>
      </c>
      <c r="B23" s="7" t="n">
        <v>3.2</v>
      </c>
      <c r="C23" s="7" t="n">
        <v>4</v>
      </c>
      <c r="D23" s="7" t="n">
        <v>4.8</v>
      </c>
      <c r="E23" s="2" t="inlineStr">
        <is>
          <t>kill mid-level + freq cap</t>
        </is>
      </c>
    </row>
    <row r="24">
      <c r="A24" t="inlineStr">
        <is>
          <t>Retention D1 uplift (U2, abs p.p.)</t>
        </is>
      </c>
      <c r="B24" s="9" t="n">
        <v>0.005</v>
      </c>
      <c r="C24" s="9" t="n">
        <v>0.012</v>
      </c>
      <c r="D24" s="9" t="n">
        <v>0.02</v>
      </c>
      <c r="E24" s="2" t="inlineStr">
        <is>
          <t>less intrusive -&gt; better D1</t>
        </is>
      </c>
    </row>
    <row r="25">
      <c r="A25" t="inlineStr">
        <is>
          <t>Rewarded impressions / DAU (after U2)</t>
        </is>
      </c>
      <c r="B25" s="8" t="n">
        <v>0.45</v>
      </c>
      <c r="C25" s="8" t="n">
        <v>0.7</v>
      </c>
      <c r="D25" s="7" t="n">
        <v>1</v>
      </c>
      <c r="E25" s="2" t="inlineStr">
        <is>
          <t>more sessions -&gt; more opt-in</t>
        </is>
      </c>
    </row>
    <row r="26">
      <c r="A26" t="inlineStr">
        <is>
          <t>Remove-ads SKU price ($)</t>
        </is>
      </c>
      <c r="B26" s="7" t="n">
        <v>4.99</v>
      </c>
      <c r="C26" s="7" t="n">
        <v>4.99</v>
      </c>
      <c r="D26" s="7" t="n">
        <v>4.99</v>
      </c>
      <c r="E26" s="2" t="inlineStr">
        <is>
          <t>one-time, keeps rewarded</t>
        </is>
      </c>
    </row>
    <row r="27">
      <c r="A27" t="inlineStr">
        <is>
          <t>Remove-ads daily buyers / DAU</t>
        </is>
      </c>
      <c r="B27" s="9" t="n">
        <v>0.0008</v>
      </c>
      <c r="C27" s="9" t="n">
        <v>0.0015</v>
      </c>
      <c r="D27" s="9" t="n">
        <v>0.0025</v>
      </c>
      <c r="E27" s="2" t="inlineStr">
        <is>
          <t>share of DAU/day buying remove-ads</t>
        </is>
      </c>
    </row>
    <row r="28">
      <c r="A28" t="inlineStr">
        <is>
          <t>Share of DAU who are ad-free (steady)</t>
        </is>
      </c>
      <c r="B28" s="9" t="n">
        <v>0.02</v>
      </c>
      <c r="C28" s="9" t="n">
        <v>0.035</v>
      </c>
      <c r="D28" s="9" t="n">
        <v>0.05</v>
      </c>
      <c r="E28" s="2" t="inlineStr">
        <is>
          <t>cumulative remove-ads owners</t>
        </is>
      </c>
    </row>
    <row r="29">
      <c r="A29" s="5" t="inlineStr">
        <is>
          <t>U3 — Offer layer (starter pack + piggy)</t>
        </is>
      </c>
      <c r="B29" s="6" t="n"/>
      <c r="C29" s="6" t="n"/>
      <c r="D29" s="6" t="n"/>
      <c r="E29" s="6" t="n"/>
    </row>
    <row r="30">
      <c r="A30" t="inlineStr">
        <is>
          <t>IAP conv. to payer — U3 total (share DAU)</t>
        </is>
      </c>
      <c r="B30" s="9" t="n">
        <v>0.01</v>
      </c>
      <c r="C30" s="9" t="n">
        <v>0.017</v>
      </c>
      <c r="D30" s="9" t="n">
        <v>0.025</v>
      </c>
      <c r="E30" s="2" t="inlineStr">
        <is>
          <t>coin packs + offers, incl. U1</t>
        </is>
      </c>
    </row>
    <row r="31">
      <c r="A31" t="inlineStr">
        <is>
          <t>Avg IAP transaction value ($) — U3</t>
        </is>
      </c>
      <c r="B31" s="7" t="n">
        <v>4</v>
      </c>
      <c r="C31" s="7" t="n">
        <v>5</v>
      </c>
      <c r="D31" s="7" t="n">
        <v>6.5</v>
      </c>
      <c r="E31" s="2" t="inlineStr">
        <is>
          <t>offers raise avg ticket</t>
        </is>
      </c>
    </row>
    <row r="32">
      <c r="A32" t="inlineStr">
        <is>
          <t>Rewarded impressions / DAU (after U3)</t>
        </is>
      </c>
      <c r="B32" s="8" t="n">
        <v>0.5</v>
      </c>
      <c r="C32" s="8" t="n">
        <v>0.8</v>
      </c>
      <c r="D32" s="7" t="n">
        <v>1.15</v>
      </c>
      <c r="E32" s="2" t="inlineStr">
        <is>
          <t>mature LiveOps opt-in</t>
        </is>
      </c>
    </row>
    <row r="33">
      <c r="A33" t="inlineStr">
        <is>
          <t>Interstitial impr/DAU (after U3)</t>
        </is>
      </c>
      <c r="B33" s="7" t="n">
        <v>3.2</v>
      </c>
      <c r="C33" s="7" t="n">
        <v>4</v>
      </c>
      <c r="D33" s="7" t="n">
        <v>4.8</v>
      </c>
      <c r="E33" s="2" t="inlineStr">
        <is>
          <t>same as U2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ARPDAU decomposition — BEFORE vs AFTER updates (formulas reference Assumptions!)</t>
        </is>
      </c>
    </row>
    <row r="2">
      <c r="A2" s="2" t="inlineStr">
        <is>
          <t>Rows = revenue components; column blocks = scenarios. Cannibalization visible: interstitial ARPDAU falls U2+, total still rises.</t>
        </is>
      </c>
    </row>
    <row r="4">
      <c r="A4" s="3" t="inlineStr">
        <is>
          <t>Revenue component ($ ARPDAU)</t>
        </is>
      </c>
      <c r="B4" s="10" t="inlineStr">
        <is>
          <t>Pessimistic</t>
        </is>
      </c>
      <c r="F4" s="10" t="inlineStr">
        <is>
          <t>Base</t>
        </is>
      </c>
      <c r="J4" s="10" t="inlineStr">
        <is>
          <t>Optimistic</t>
        </is>
      </c>
    </row>
    <row r="5">
      <c r="A5" s="11" t="n"/>
      <c r="B5" s="12" t="inlineStr">
        <is>
          <t>BEFORE
(ads-only)</t>
        </is>
      </c>
      <c r="C5" s="12" t="inlineStr">
        <is>
          <t>AFTER U1
(economy)</t>
        </is>
      </c>
      <c r="D5" s="12" t="inlineStr">
        <is>
          <t>AFTER U2
(remove-ads)</t>
        </is>
      </c>
      <c r="E5" s="12" t="inlineStr">
        <is>
          <t>AFTER U3
(offers)</t>
        </is>
      </c>
      <c r="F5" s="12" t="inlineStr">
        <is>
          <t>BEFORE
(ads-only)</t>
        </is>
      </c>
      <c r="G5" s="12" t="inlineStr">
        <is>
          <t>AFTER U1
(economy)</t>
        </is>
      </c>
      <c r="H5" s="12" t="inlineStr">
        <is>
          <t>AFTER U2
(remove-ads)</t>
        </is>
      </c>
      <c r="I5" s="12" t="inlineStr">
        <is>
          <t>AFTER U3
(offers)</t>
        </is>
      </c>
      <c r="J5" s="12" t="inlineStr">
        <is>
          <t>BEFORE
(ads-only)</t>
        </is>
      </c>
      <c r="K5" s="12" t="inlineStr">
        <is>
          <t>AFTER U1
(economy)</t>
        </is>
      </c>
      <c r="L5" s="12" t="inlineStr">
        <is>
          <t>AFTER U2
(remove-ads)</t>
        </is>
      </c>
      <c r="M5" s="12" t="inlineStr">
        <is>
          <t>AFTER U3
(offers)</t>
        </is>
      </c>
    </row>
    <row r="6">
      <c r="A6" s="13" t="inlineStr">
        <is>
          <t>Interstitial ARPDAU</t>
        </is>
      </c>
      <c r="B6" s="14">
        <f>(Assumptions!B12)*(Assumptions!B13)/1000</f>
        <v/>
      </c>
      <c r="C6" s="14">
        <f>(Assumptions!B19)*(Assumptions!B13)/1000</f>
        <v/>
      </c>
      <c r="D6" s="14">
        <f>(Assumptions!B23)*(1-Assumptions!B28)*(Assumptions!B13)/1000</f>
        <v/>
      </c>
      <c r="E6" s="14">
        <f>(Assumptions!B33)*(1-Assumptions!B28)*(Assumptions!B13)/1000</f>
        <v/>
      </c>
      <c r="F6" s="14">
        <f>(Assumptions!C12)*(Assumptions!C13)/1000</f>
        <v/>
      </c>
      <c r="G6" s="14">
        <f>(Assumptions!C19)*(Assumptions!C13)/1000</f>
        <v/>
      </c>
      <c r="H6" s="14">
        <f>(Assumptions!C23)*(1-Assumptions!C28)*(Assumptions!C13)/1000</f>
        <v/>
      </c>
      <c r="I6" s="14">
        <f>(Assumptions!C33)*(1-Assumptions!C28)*(Assumptions!C13)/1000</f>
        <v/>
      </c>
      <c r="J6" s="14">
        <f>(Assumptions!D12)*(Assumptions!D13)/1000</f>
        <v/>
      </c>
      <c r="K6" s="14">
        <f>(Assumptions!D19)*(Assumptions!D13)/1000</f>
        <v/>
      </c>
      <c r="L6" s="14">
        <f>(Assumptions!D23)*(1-Assumptions!D28)*(Assumptions!D13)/1000</f>
        <v/>
      </c>
      <c r="M6" s="14">
        <f>(Assumptions!D33)*(1-Assumptions!D28)*(Assumptions!D13)/1000</f>
        <v/>
      </c>
    </row>
    <row r="7">
      <c r="A7" s="13" t="inlineStr">
        <is>
          <t>Rewarded ARPDAU</t>
        </is>
      </c>
      <c r="B7" s="14">
        <f>(Assumptions!B14)*(Assumptions!B15)/1000</f>
        <v/>
      </c>
      <c r="C7" s="14">
        <f>(Assumptions!B18)*(Assumptions!B15)/1000</f>
        <v/>
      </c>
      <c r="D7" s="14">
        <f>(Assumptions!B25)*(Assumptions!B15)/1000</f>
        <v/>
      </c>
      <c r="E7" s="14">
        <f>(Assumptions!B32)*(Assumptions!B15)/1000</f>
        <v/>
      </c>
      <c r="F7" s="14">
        <f>(Assumptions!C14)*(Assumptions!C15)/1000</f>
        <v/>
      </c>
      <c r="G7" s="14">
        <f>(Assumptions!C18)*(Assumptions!C15)/1000</f>
        <v/>
      </c>
      <c r="H7" s="14">
        <f>(Assumptions!C25)*(Assumptions!C15)/1000</f>
        <v/>
      </c>
      <c r="I7" s="14">
        <f>(Assumptions!C32)*(Assumptions!C15)/1000</f>
        <v/>
      </c>
      <c r="J7" s="14">
        <f>(Assumptions!D14)*(Assumptions!D15)/1000</f>
        <v/>
      </c>
      <c r="K7" s="14">
        <f>(Assumptions!D18)*(Assumptions!D15)/1000</f>
        <v/>
      </c>
      <c r="L7" s="14">
        <f>(Assumptions!D25)*(Assumptions!D15)/1000</f>
        <v/>
      </c>
      <c r="M7" s="14">
        <f>(Assumptions!D32)*(Assumptions!D15)/1000</f>
        <v/>
      </c>
    </row>
    <row r="8">
      <c r="A8" s="13" t="inlineStr">
        <is>
          <t>Banner ARPDAU</t>
        </is>
      </c>
      <c r="B8" s="14">
        <f>Assumptions!B16</f>
        <v/>
      </c>
      <c r="C8" s="14">
        <f>Assumptions!B16</f>
        <v/>
      </c>
      <c r="D8" s="14">
        <f>Assumptions!B16</f>
        <v/>
      </c>
      <c r="E8" s="14">
        <f>Assumptions!B16</f>
        <v/>
      </c>
      <c r="F8" s="14">
        <f>Assumptions!C16</f>
        <v/>
      </c>
      <c r="G8" s="14">
        <f>Assumptions!C16</f>
        <v/>
      </c>
      <c r="H8" s="14">
        <f>Assumptions!C16</f>
        <v/>
      </c>
      <c r="I8" s="14">
        <f>Assumptions!C16</f>
        <v/>
      </c>
      <c r="J8" s="14">
        <f>Assumptions!D16</f>
        <v/>
      </c>
      <c r="K8" s="14">
        <f>Assumptions!D16</f>
        <v/>
      </c>
      <c r="L8" s="14">
        <f>Assumptions!D16</f>
        <v/>
      </c>
      <c r="M8" s="14">
        <f>Assumptions!D16</f>
        <v/>
      </c>
    </row>
    <row r="9">
      <c r="A9" s="3">
        <f> Ad ARPDAU (subtotal)</f>
        <v/>
      </c>
      <c r="B9" s="14">
        <f>B6+B7+B8</f>
        <v/>
      </c>
      <c r="C9" s="14">
        <f>C6+C7+C8</f>
        <v/>
      </c>
      <c r="D9" s="14">
        <f>D6+D7+D8</f>
        <v/>
      </c>
      <c r="E9" s="14">
        <f>E6+E7+E8</f>
        <v/>
      </c>
      <c r="F9" s="14">
        <f>F6+F7+F8</f>
        <v/>
      </c>
      <c r="G9" s="14">
        <f>G6+G7+G8</f>
        <v/>
      </c>
      <c r="H9" s="14">
        <f>H6+H7+H8</f>
        <v/>
      </c>
      <c r="I9" s="14">
        <f>I6+I7+I8</f>
        <v/>
      </c>
      <c r="J9" s="14">
        <f>J6+J7+J8</f>
        <v/>
      </c>
      <c r="K9" s="14">
        <f>K6+K7+K8</f>
        <v/>
      </c>
      <c r="L9" s="14">
        <f>L6+L7+L8</f>
        <v/>
      </c>
      <c r="M9" s="14">
        <f>M6+M7+M8</f>
        <v/>
      </c>
    </row>
    <row r="10">
      <c r="A10" s="13" t="inlineStr">
        <is>
          <t>IAP ARPDAU (coin packs + offers)</t>
        </is>
      </c>
      <c r="B10" s="14" t="n">
        <v>0</v>
      </c>
      <c r="C10" s="14">
        <f>(Assumptions!B20)*(Assumptions!B21)</f>
        <v/>
      </c>
      <c r="D10" s="14">
        <f>(Assumptions!B20)*(Assumptions!B21)</f>
        <v/>
      </c>
      <c r="E10" s="14">
        <f>(Assumptions!B30)*(Assumptions!B31)</f>
        <v/>
      </c>
      <c r="F10" s="14" t="n">
        <v>0</v>
      </c>
      <c r="G10" s="14">
        <f>(Assumptions!C20)*(Assumptions!C21)</f>
        <v/>
      </c>
      <c r="H10" s="14">
        <f>(Assumptions!C20)*(Assumptions!C21)</f>
        <v/>
      </c>
      <c r="I10" s="14">
        <f>(Assumptions!C30)*(Assumptions!C31)</f>
        <v/>
      </c>
      <c r="J10" s="14" t="n">
        <v>0</v>
      </c>
      <c r="K10" s="14">
        <f>(Assumptions!D20)*(Assumptions!D21)</f>
        <v/>
      </c>
      <c r="L10" s="14">
        <f>(Assumptions!D20)*(Assumptions!D21)</f>
        <v/>
      </c>
      <c r="M10" s="14">
        <f>(Assumptions!D30)*(Assumptions!D31)</f>
        <v/>
      </c>
    </row>
    <row r="11">
      <c r="A11" s="13" t="inlineStr">
        <is>
          <t>Remove-ads ARPDAU</t>
        </is>
      </c>
      <c r="B11" s="14" t="n">
        <v>0</v>
      </c>
      <c r="C11" s="14" t="n">
        <v>0</v>
      </c>
      <c r="D11" s="14">
        <f>(Assumptions!B27)*(Assumptions!B26)</f>
        <v/>
      </c>
      <c r="E11" s="14">
        <f>(Assumptions!B27)*(Assumptions!B26)</f>
        <v/>
      </c>
      <c r="F11" s="14" t="n">
        <v>0</v>
      </c>
      <c r="G11" s="14" t="n">
        <v>0</v>
      </c>
      <c r="H11" s="14">
        <f>(Assumptions!C27)*(Assumptions!C26)</f>
        <v/>
      </c>
      <c r="I11" s="14">
        <f>(Assumptions!C27)*(Assumptions!C26)</f>
        <v/>
      </c>
      <c r="J11" s="14" t="n">
        <v>0</v>
      </c>
      <c r="K11" s="14" t="n">
        <v>0</v>
      </c>
      <c r="L11" s="14">
        <f>(Assumptions!D27)*(Assumptions!D26)</f>
        <v/>
      </c>
      <c r="M11" s="14">
        <f>(Assumptions!D27)*(Assumptions!D26)</f>
        <v/>
      </c>
    </row>
    <row r="12">
      <c r="A12" s="3">
        <f> IAP ARPDAU (subtotal)</f>
        <v/>
      </c>
      <c r="B12" s="14">
        <f>B10+B11</f>
        <v/>
      </c>
      <c r="C12" s="14">
        <f>C10+C11</f>
        <v/>
      </c>
      <c r="D12" s="14">
        <f>D10+D11</f>
        <v/>
      </c>
      <c r="E12" s="14">
        <f>E10+E11</f>
        <v/>
      </c>
      <c r="F12" s="14">
        <f>F10+F11</f>
        <v/>
      </c>
      <c r="G12" s="14">
        <f>G10+G11</f>
        <v/>
      </c>
      <c r="H12" s="14">
        <f>H10+H11</f>
        <v/>
      </c>
      <c r="I12" s="14">
        <f>I10+I11</f>
        <v/>
      </c>
      <c r="J12" s="14">
        <f>J10+J11</f>
        <v/>
      </c>
      <c r="K12" s="14">
        <f>K10+K11</f>
        <v/>
      </c>
      <c r="L12" s="14">
        <f>L10+L11</f>
        <v/>
      </c>
      <c r="M12" s="14">
        <f>M10+M11</f>
        <v/>
      </c>
    </row>
    <row r="13">
      <c r="A13" s="15" t="inlineStr">
        <is>
          <t>TOTAL ARPDAU (ad + IAP)</t>
        </is>
      </c>
      <c r="B13" s="16">
        <f>B9+B12</f>
        <v/>
      </c>
      <c r="C13" s="16">
        <f>C9+C12</f>
        <v/>
      </c>
      <c r="D13" s="16">
        <f>D9+D12</f>
        <v/>
      </c>
      <c r="E13" s="16">
        <f>E9+E12</f>
        <v/>
      </c>
      <c r="F13" s="16">
        <f>F9+F12</f>
        <v/>
      </c>
      <c r="G13" s="16">
        <f>G9+G12</f>
        <v/>
      </c>
      <c r="H13" s="16">
        <f>H9+H12</f>
        <v/>
      </c>
      <c r="I13" s="16">
        <f>I9+I12</f>
        <v/>
      </c>
      <c r="J13" s="16">
        <f>J9+J12</f>
        <v/>
      </c>
      <c r="K13" s="16">
        <f>K9+K12</f>
        <v/>
      </c>
      <c r="L13" s="16">
        <f>L9+L12</f>
        <v/>
      </c>
      <c r="M13" s="16">
        <f>M9+M12</f>
        <v/>
      </c>
    </row>
    <row r="15">
      <c r="A15" s="5" t="inlineStr">
        <is>
          <t>Cannibalization check</t>
        </is>
      </c>
    </row>
    <row r="16">
      <c r="A16" s="17" t="inlineStr">
        <is>
          <t>Interstitial ARPDAU vs BEFORE ($)</t>
        </is>
      </c>
      <c r="B16" s="14">
        <f>B6-B6</f>
        <v/>
      </c>
      <c r="C16" s="14">
        <f>C6-B6</f>
        <v/>
      </c>
      <c r="D16" s="14">
        <f>D6-B6</f>
        <v/>
      </c>
      <c r="E16" s="14">
        <f>E6-B6</f>
        <v/>
      </c>
      <c r="F16" s="14">
        <f>F6-F6</f>
        <v/>
      </c>
      <c r="G16" s="14">
        <f>G6-F6</f>
        <v/>
      </c>
      <c r="H16" s="14">
        <f>H6-F6</f>
        <v/>
      </c>
      <c r="I16" s="14">
        <f>I6-F6</f>
        <v/>
      </c>
      <c r="J16" s="14">
        <f>J6-J6</f>
        <v/>
      </c>
      <c r="K16" s="14">
        <f>K6-J6</f>
        <v/>
      </c>
      <c r="L16" s="14">
        <f>L6-J6</f>
        <v/>
      </c>
      <c r="M16" s="14">
        <f>M6-J6</f>
        <v/>
      </c>
    </row>
    <row r="17">
      <c r="A17" s="17" t="inlineStr">
        <is>
          <t>Total ARPDAU vs BEFORE ($)</t>
        </is>
      </c>
      <c r="B17" s="14">
        <f>B13-B13</f>
        <v/>
      </c>
      <c r="C17" s="14">
        <f>C13-B13</f>
        <v/>
      </c>
      <c r="D17" s="14">
        <f>D13-B13</f>
        <v/>
      </c>
      <c r="E17" s="14">
        <f>E13-B13</f>
        <v/>
      </c>
      <c r="F17" s="14">
        <f>F13-F13</f>
        <v/>
      </c>
      <c r="G17" s="14">
        <f>G13-F13</f>
        <v/>
      </c>
      <c r="H17" s="14">
        <f>H13-F13</f>
        <v/>
      </c>
      <c r="I17" s="14">
        <f>I13-F13</f>
        <v/>
      </c>
      <c r="J17" s="14">
        <f>J13-J13</f>
        <v/>
      </c>
      <c r="K17" s="14">
        <f>K13-J13</f>
        <v/>
      </c>
      <c r="L17" s="14">
        <f>L13-J13</f>
        <v/>
      </c>
      <c r="M17" s="14">
        <f>M13-J13</f>
        <v/>
      </c>
    </row>
    <row r="18">
      <c r="A18" s="17" t="inlineStr">
        <is>
          <t>Total ARPDAU vs BEFORE (%)</t>
        </is>
      </c>
      <c r="B18" s="18">
        <f>IF(B13=0,0,(B13-B13)/B13)</f>
        <v/>
      </c>
      <c r="C18" s="18">
        <f>IF(B13=0,0,(C13-B13)/B13)</f>
        <v/>
      </c>
      <c r="D18" s="18">
        <f>IF(B13=0,0,(D13-B13)/B13)</f>
        <v/>
      </c>
      <c r="E18" s="18">
        <f>IF(B13=0,0,(E13-B13)/B13)</f>
        <v/>
      </c>
      <c r="F18" s="18">
        <f>IF(F13=0,0,(F13-F13)/F13)</f>
        <v/>
      </c>
      <c r="G18" s="18">
        <f>IF(F13=0,0,(G13-F13)/F13)</f>
        <v/>
      </c>
      <c r="H18" s="18">
        <f>IF(F13=0,0,(H13-F13)/F13)</f>
        <v/>
      </c>
      <c r="I18" s="18">
        <f>IF(F13=0,0,(I13-F13)/F13)</f>
        <v/>
      </c>
      <c r="J18" s="18">
        <f>IF(J13=0,0,(J13-J13)/J13)</f>
        <v/>
      </c>
      <c r="K18" s="18">
        <f>IF(J13=0,0,(K13-J13)/J13)</f>
        <v/>
      </c>
      <c r="L18" s="18">
        <f>IF(J13=0,0,(L13-J13)/J13)</f>
        <v/>
      </c>
      <c r="M18" s="18">
        <f>IF(J13=0,0,(M13-J13)/J13)</f>
        <v/>
      </c>
    </row>
  </sheetData>
  <mergeCells count="4">
    <mergeCell ref="A4:A5"/>
    <mergeCell ref="F4:I4"/>
    <mergeCell ref="J4:M4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Monthly revenue ($) = TOTAL ARPDAU x DAU x 30</t>
        </is>
      </c>
    </row>
    <row r="2">
      <c r="A2" s="2" t="inlineStr">
        <is>
          <t>Base scenario shown in full; pess/opt totals summarized. DAU pulled from Assumptions.</t>
        </is>
      </c>
    </row>
    <row r="4">
      <c r="A4" s="3" t="inlineStr">
        <is>
          <t>Scenario</t>
        </is>
      </c>
      <c r="B4" s="19" t="inlineStr">
        <is>
          <t>BEFORE (ads-only)</t>
        </is>
      </c>
      <c r="C4" s="19" t="inlineStr">
        <is>
          <t>AFTER U1</t>
        </is>
      </c>
      <c r="D4" s="19" t="inlineStr">
        <is>
          <t>AFTER U2</t>
        </is>
      </c>
      <c r="E4" s="19" t="inlineStr">
        <is>
          <t>AFTER U3</t>
        </is>
      </c>
      <c r="F4" s="19" t="inlineStr">
        <is>
          <t>U3 uplift vs BEFORE</t>
        </is>
      </c>
    </row>
    <row r="5">
      <c r="A5" s="20" t="inlineStr">
        <is>
          <t>Pessimistic</t>
        </is>
      </c>
      <c r="B5" s="21">
        <f>Model!B13*Assumptions!B6*30</f>
        <v/>
      </c>
      <c r="C5" s="21">
        <f>Model!C13*Assumptions!B6*30</f>
        <v/>
      </c>
      <c r="D5" s="21">
        <f>Model!D13*Assumptions!B6*30</f>
        <v/>
      </c>
      <c r="E5" s="21">
        <f>Model!E13*Assumptions!B6*30</f>
        <v/>
      </c>
      <c r="F5" s="22">
        <f>Model!E13*Assumptions!B6*30 - Model!B13*Assumptions!B6*30</f>
        <v/>
      </c>
    </row>
    <row r="6">
      <c r="A6" s="20" t="inlineStr">
        <is>
          <t>Base</t>
        </is>
      </c>
      <c r="B6" s="21">
        <f>Model!F13*Assumptions!C6*30</f>
        <v/>
      </c>
      <c r="C6" s="21">
        <f>Model!G13*Assumptions!C6*30</f>
        <v/>
      </c>
      <c r="D6" s="21">
        <f>Model!H13*Assumptions!C6*30</f>
        <v/>
      </c>
      <c r="E6" s="21">
        <f>Model!I13*Assumptions!C6*30</f>
        <v/>
      </c>
      <c r="F6" s="22">
        <f>Model!I13*Assumptions!C6*30 - Model!F13*Assumptions!C6*30</f>
        <v/>
      </c>
    </row>
    <row r="7">
      <c r="A7" s="20" t="inlineStr">
        <is>
          <t>Optimistic</t>
        </is>
      </c>
      <c r="B7" s="21">
        <f>Model!J13*Assumptions!D6*30</f>
        <v/>
      </c>
      <c r="C7" s="21">
        <f>Model!K13*Assumptions!D6*30</f>
        <v/>
      </c>
      <c r="D7" s="21">
        <f>Model!L13*Assumptions!D6*30</f>
        <v/>
      </c>
      <c r="E7" s="21">
        <f>Model!M13*Assumptions!D6*30</f>
        <v/>
      </c>
      <c r="F7" s="22">
        <f>Model!M13*Assumptions!D6*30 - Model!J13*Assumptions!D6*30</f>
        <v/>
      </c>
    </row>
    <row r="9">
      <c r="A9" s="2" t="inlineStr">
        <is>
          <t>Rollout timeline (base): BEFORE = month 0; U1 live ~M1; U2 ~M2 (parallel-capable); U3 ~M3-4. Ramp not modeled — steady-state ARPDAU per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2026-07-07T21:11:01Z</dcterms:created>
  <dcterms:modified xsi:type="dcterms:W3CDTF">2026-07-07T21:11:01Z</dcterms:modified>
</cp:coreProperties>
</file>