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Table" sheetId="2" state="visible" r:id="rId2"/>
    <sheet name="Cur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</font>
    <font>
      <b val="1"/>
      <color rgb="00FFFFFF"/>
      <sz val="10"/>
    </font>
    <font>
      <b val="1"/>
      <color rgb="008B0000"/>
    </font>
  </fonts>
  <fills count="4">
    <fill>
      <patternFill/>
    </fill>
    <fill>
      <patternFill patternType="gray125"/>
    </fill>
    <fill>
      <patternFill patternType="solid">
        <fgColor rgb="002F3B5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Difficulty score by level (trend + sawtooth + reliefs)</a:t>
            </a:r>
          </a:p>
        </rich>
      </tx>
    </title>
    <plotArea>
      <lineChart>
        <grouping val="standard"/>
        <ser>
          <idx val="0"/>
          <order val="0"/>
          <tx>
            <strRef>
              <f>'Table'!O1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'Table'!$A$2:$A$101</f>
            </numRef>
          </cat>
          <val>
            <numRef>
              <f>'Table'!$O$2:$O$101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level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difficulty_score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93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Difficulty-score model — weights on normalized P1..P8</t>
        </is>
      </c>
    </row>
    <row r="3">
      <c r="A3" s="2" t="inlineStr">
        <is>
          <t>param</t>
        </is>
      </c>
      <c r="B3" s="2" t="inlineStr">
        <is>
          <t>weight</t>
        </is>
      </c>
      <c r="C3" s="2" t="inlineStr">
        <is>
          <t>norm_min</t>
        </is>
      </c>
      <c r="D3" s="2" t="inlineStr">
        <is>
          <t>norm_max</t>
        </is>
      </c>
      <c r="E3" s="2" t="inlineStr">
        <is>
          <t>note</t>
        </is>
      </c>
    </row>
    <row r="4">
      <c r="A4" t="inlineStr">
        <is>
          <t>FLOOR</t>
        </is>
      </c>
      <c r="B4" t="n">
        <v>0.0765</v>
      </c>
      <c r="C4" t="inlineStr"/>
      <c r="D4" t="inlineStr"/>
      <c r="E4" t="inlineStr">
        <is>
          <t>score floor (tutorial baseline)</t>
        </is>
      </c>
    </row>
    <row r="5">
      <c r="A5" t="inlineStr">
        <is>
          <t>P1_words</t>
        </is>
      </c>
      <c r="B5" t="n">
        <v>3.2901</v>
      </c>
      <c r="C5" t="n">
        <v>1</v>
      </c>
      <c r="D5" t="n">
        <v>5</v>
      </c>
      <c r="E5" t="inlineStr">
        <is>
          <t>number of words (coarse length lever)</t>
        </is>
      </c>
    </row>
    <row r="6">
      <c r="A6" t="inlineStr">
        <is>
          <t>P2_wordlen</t>
        </is>
      </c>
      <c r="B6" t="n">
        <v>0.9</v>
      </c>
      <c r="C6" t="n">
        <v>4</v>
      </c>
      <c r="D6" t="n">
        <v>8</v>
      </c>
      <c r="E6" t="inlineStr">
        <is>
          <t>max word length</t>
        </is>
      </c>
    </row>
    <row r="7">
      <c r="A7" t="inlineStr">
        <is>
          <t>P3_zipf</t>
        </is>
      </c>
      <c r="B7" t="n">
        <v>0.1</v>
      </c>
      <c r="C7" t="n">
        <v>1</v>
      </c>
      <c r="D7" t="n">
        <v>6</v>
      </c>
      <c r="E7" t="inlineStr">
        <is>
          <t>rarity band (1 common .. 6 rare)</t>
        </is>
      </c>
    </row>
    <row r="8">
      <c r="A8" t="inlineStr">
        <is>
          <t>P4_scramble</t>
        </is>
      </c>
      <c r="B8" t="n">
        <v>2.3472</v>
      </c>
      <c r="C8" t="n">
        <v>0</v>
      </c>
      <c r="D8" t="n">
        <v>1</v>
      </c>
      <c r="E8" t="inlineStr">
        <is>
          <t>scramble score (already 0..1)</t>
        </is>
      </c>
    </row>
    <row r="9">
      <c r="A9" t="inlineStr">
        <is>
          <t>P5_traps</t>
        </is>
      </c>
      <c r="B9" t="n">
        <v>0.3521</v>
      </c>
      <c r="C9" t="n">
        <v>0</v>
      </c>
      <c r="D9" t="n">
        <v>2</v>
      </c>
      <c r="E9" t="inlineStr">
        <is>
          <t>trap anagrams</t>
        </is>
      </c>
    </row>
    <row r="10">
      <c r="A10" t="inlineStr">
        <is>
          <t>P6_answerlen</t>
        </is>
      </c>
      <c r="B10" t="n">
        <v>0.3329</v>
      </c>
      <c r="C10" t="n">
        <v>3</v>
      </c>
      <c r="D10" t="n">
        <v>14</v>
      </c>
      <c r="E10" t="inlineStr">
        <is>
          <t>answer letters</t>
        </is>
      </c>
    </row>
    <row r="11">
      <c r="A11" t="inlineStr">
        <is>
          <t>P7_pun</t>
        </is>
      </c>
      <c r="B11" t="n">
        <v>0.6035</v>
      </c>
      <c r="C11" t="n">
        <v>0</v>
      </c>
      <c r="D11" t="n">
        <v>1</v>
      </c>
      <c r="E11" t="inlineStr">
        <is>
          <t>pun type encoded</t>
        </is>
      </c>
    </row>
    <row r="12">
      <c r="A12" t="inlineStr">
        <is>
          <t>P8_opacity</t>
        </is>
      </c>
      <c r="B12" t="n">
        <v>0.1</v>
      </c>
      <c r="C12" t="n">
        <v>1</v>
      </c>
      <c r="D12" t="n">
        <v>5</v>
      </c>
      <c r="E12" t="inlineStr">
        <is>
          <t>cartoon transparency, used inverted (5-P8)/4</t>
        </is>
      </c>
    </row>
    <row r="15">
      <c r="A15" s="2" t="inlineStr">
        <is>
          <t>pun_type encoding</t>
        </is>
      </c>
    </row>
    <row r="17">
      <c r="A17" t="inlineStr">
        <is>
          <t>direct</t>
        </is>
      </c>
      <c r="B17" t="n">
        <v>0</v>
      </c>
    </row>
    <row r="18">
      <c r="A18" t="inlineStr">
        <is>
          <t>idiom</t>
        </is>
      </c>
      <c r="B18" t="n">
        <v>0.33</v>
      </c>
    </row>
    <row r="19">
      <c r="A19" t="inlineStr">
        <is>
          <t>homophone</t>
        </is>
      </c>
      <c r="B19" t="n">
        <v>0.66</v>
      </c>
    </row>
    <row r="20">
      <c r="A20" s="3" t="inlineStr">
        <is>
          <t>Score formula (per Table row): FLOOR + Σ weight_i · normalized(P_i)</t>
        </is>
      </c>
      <c r="B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8" customWidth="1" min="4" max="4"/>
    <col width="7" customWidth="1" min="5" max="5"/>
    <col width="9" customWidth="1" min="6" max="6"/>
    <col width="8" customWidth="1" min="7" max="7"/>
    <col width="9" customWidth="1" min="8" max="8"/>
    <col width="8" customWidth="1" min="9" max="9"/>
    <col width="14" customWidth="1" min="10" max="10"/>
    <col width="10" customWidth="1" min="11" max="11"/>
    <col width="9" customWidth="1" min="12" max="12"/>
    <col width="10" customWidth="1" min="13" max="13"/>
    <col width="10" customWidth="1" min="14" max="14"/>
    <col width="10" customWidth="1" min="15" max="15"/>
    <col width="10" customWidth="1" min="16" max="16"/>
    <col width="52" customWidth="1" min="17" max="17"/>
  </cols>
  <sheetData>
    <row r="1">
      <c r="A1" s="4" t="inlineStr">
        <is>
          <t>level</t>
        </is>
      </c>
      <c r="B1" s="4" t="inlineStr">
        <is>
          <t>words_count</t>
        </is>
      </c>
      <c r="C1" s="4" t="inlineStr">
        <is>
          <t>word_len_min</t>
        </is>
      </c>
      <c r="D1" s="4" t="inlineStr">
        <is>
          <t>word_len_max</t>
        </is>
      </c>
      <c r="E1" s="4" t="inlineStr">
        <is>
          <t>zipf_band</t>
        </is>
      </c>
      <c r="F1" s="4" t="inlineStr">
        <is>
          <t>scramble_score</t>
        </is>
      </c>
      <c r="G1" s="4" t="inlineStr">
        <is>
          <t>trap_anagrams</t>
        </is>
      </c>
      <c r="H1" s="4" t="inlineStr">
        <is>
          <t>answer_letters</t>
        </is>
      </c>
      <c r="I1" s="4" t="inlineStr">
        <is>
          <t>answer_words</t>
        </is>
      </c>
      <c r="J1" s="4" t="inlineStr">
        <is>
          <t>pun_type</t>
        </is>
      </c>
      <c r="K1" s="4" t="inlineStr">
        <is>
          <t>cartoon_transparency</t>
        </is>
      </c>
      <c r="L1" s="4" t="inlineStr">
        <is>
          <t>free_hint_worth</t>
        </is>
      </c>
      <c r="M1" s="4" t="inlineStr">
        <is>
          <t>target_solve_time_sec</t>
        </is>
      </c>
      <c r="N1" s="4" t="inlineStr">
        <is>
          <t>target_hint_usage_pct</t>
        </is>
      </c>
      <c r="O1" s="4" t="inlineStr">
        <is>
          <t>difficulty_score</t>
        </is>
      </c>
      <c r="P1" s="4" t="inlineStr">
        <is>
          <t>curve_role</t>
        </is>
      </c>
      <c r="Q1" s="4" t="inlineStr">
        <is>
          <t>notes</t>
        </is>
      </c>
    </row>
    <row r="2">
      <c r="A2" s="5" t="n">
        <v>1</v>
      </c>
      <c r="B2" s="6" t="n">
        <v>1</v>
      </c>
      <c r="C2" s="6" t="n">
        <v>4</v>
      </c>
      <c r="D2" s="6" t="n">
        <v>4</v>
      </c>
      <c r="E2" s="6" t="n">
        <v>1</v>
      </c>
      <c r="F2" s="7" t="n">
        <v>0.33</v>
      </c>
      <c r="G2" s="6" t="n">
        <v>0</v>
      </c>
      <c r="H2" s="6" t="n">
        <v>3</v>
      </c>
      <c r="I2" s="6" t="n">
        <v>1</v>
      </c>
      <c r="J2" s="6" t="inlineStr">
        <is>
          <t>direct</t>
        </is>
      </c>
      <c r="K2" s="6" t="n">
        <v>5</v>
      </c>
      <c r="L2" s="6" t="n">
        <v>4</v>
      </c>
      <c r="M2" s="6" t="n">
        <v>25</v>
      </c>
      <c r="N2" s="6" t="n">
        <v>3</v>
      </c>
      <c r="O2" s="7">
        <f>Model!$B$4+Model!$B$5*((B2-1)/4)+Model!$B$6*((D2-4)/4)+Model!$B$7*((E2-1)/5)+Model!$B$8*(F2)+Model!$B$9*((G2)/2)+Model!$B$10*((H2-3)/11)+Model!$B$11*(IF(J2="double-layer",1,IF(J2="homophone",0.66,IF(J2="idiom",0.33,0))))+Model!$B$12*((5-K2)/4)</f>
        <v/>
      </c>
      <c r="P2" s="6" t="inlineStr">
        <is>
          <t>milestone</t>
        </is>
      </c>
      <c r="Q2" s="6" t="inlineStr">
        <is>
          <t>Tutorial floor: 1 word, top lexicon, no traps, direct pun</t>
        </is>
      </c>
    </row>
    <row r="3">
      <c r="A3" s="8" t="n">
        <v>2</v>
      </c>
      <c r="B3" s="8" t="n">
        <v>1</v>
      </c>
      <c r="C3" s="8" t="n">
        <v>4</v>
      </c>
      <c r="D3" s="8" t="n">
        <v>4</v>
      </c>
      <c r="E3" s="8" t="n">
        <v>1</v>
      </c>
      <c r="F3" s="9" t="n">
        <v>0.3</v>
      </c>
      <c r="G3" s="8" t="n">
        <v>0</v>
      </c>
      <c r="H3" s="8" t="n">
        <v>3</v>
      </c>
      <c r="I3" s="8" t="n">
        <v>1</v>
      </c>
      <c r="J3" s="8" t="inlineStr">
        <is>
          <t>direct</t>
        </is>
      </c>
      <c r="K3" s="8" t="n">
        <v>5</v>
      </c>
      <c r="L3" s="8" t="n">
        <v>4</v>
      </c>
      <c r="M3" s="8" t="n">
        <v>23</v>
      </c>
      <c r="N3" s="8" t="n">
        <v>3</v>
      </c>
      <c r="O3" s="9">
        <f>Model!$B$4+Model!$B$5*((B3-1)/4)+Model!$B$6*((D3-4)/4)+Model!$B$7*((E3-1)/5)+Model!$B$8*(F3)+Model!$B$9*((G3)/2)+Model!$B$10*((H3-3)/11)+Model!$B$11*(IF(J3="double-layer",1,IF(J3="homophone",0.66,IF(J3="idiom",0.33,0))))+Model!$B$12*((5-K3)/4)</f>
        <v/>
      </c>
      <c r="P3" s="8" t="inlineStr">
        <is>
          <t>ramp</t>
        </is>
      </c>
      <c r="Q3" s="8" t="inlineStr"/>
    </row>
    <row r="4">
      <c r="A4" s="8" t="n">
        <v>3</v>
      </c>
      <c r="B4" s="8" t="n">
        <v>1</v>
      </c>
      <c r="C4" s="8" t="n">
        <v>4</v>
      </c>
      <c r="D4" s="8" t="n">
        <v>4</v>
      </c>
      <c r="E4" s="8" t="n">
        <v>1</v>
      </c>
      <c r="F4" s="9" t="n">
        <v>0.33</v>
      </c>
      <c r="G4" s="8" t="n">
        <v>0</v>
      </c>
      <c r="H4" s="8" t="n">
        <v>3</v>
      </c>
      <c r="I4" s="8" t="n">
        <v>1</v>
      </c>
      <c r="J4" s="8" t="inlineStr">
        <is>
          <t>direct</t>
        </is>
      </c>
      <c r="K4" s="8" t="n">
        <v>5</v>
      </c>
      <c r="L4" s="8" t="n">
        <v>4</v>
      </c>
      <c r="M4" s="8" t="n">
        <v>25</v>
      </c>
      <c r="N4" s="8" t="n">
        <v>3</v>
      </c>
      <c r="O4" s="9">
        <f>Model!$B$4+Model!$B$5*((B4-1)/4)+Model!$B$6*((D4-4)/4)+Model!$B$7*((E4-1)/5)+Model!$B$8*(F4)+Model!$B$9*((G4)/2)+Model!$B$10*((H4-3)/11)+Model!$B$11*(IF(J4="double-layer",1,IF(J4="homophone",0.66,IF(J4="idiom",0.33,0))))+Model!$B$12*((5-K4)/4)</f>
        <v/>
      </c>
      <c r="P4" s="8" t="inlineStr">
        <is>
          <t>ramp</t>
        </is>
      </c>
      <c r="Q4" s="8" t="inlineStr"/>
    </row>
    <row r="5">
      <c r="A5" s="8" t="n">
        <v>4</v>
      </c>
      <c r="B5" s="8" t="n">
        <v>1</v>
      </c>
      <c r="C5" s="8" t="n">
        <v>4</v>
      </c>
      <c r="D5" s="8" t="n">
        <v>4</v>
      </c>
      <c r="E5" s="8" t="n">
        <v>1</v>
      </c>
      <c r="F5" s="9" t="n">
        <v>0.36</v>
      </c>
      <c r="G5" s="8" t="n">
        <v>0</v>
      </c>
      <c r="H5" s="8" t="n">
        <v>3</v>
      </c>
      <c r="I5" s="8" t="n">
        <v>1</v>
      </c>
      <c r="J5" s="8" t="inlineStr">
        <is>
          <t>direct</t>
        </is>
      </c>
      <c r="K5" s="8" t="n">
        <v>5</v>
      </c>
      <c r="L5" s="8" t="n">
        <v>4</v>
      </c>
      <c r="M5" s="8" t="n">
        <v>27</v>
      </c>
      <c r="N5" s="8" t="n">
        <v>3</v>
      </c>
      <c r="O5" s="9">
        <f>Model!$B$4+Model!$B$5*((B5-1)/4)+Model!$B$6*((D5-4)/4)+Model!$B$7*((E5-1)/5)+Model!$B$8*(F5)+Model!$B$9*((G5)/2)+Model!$B$10*((H5-3)/11)+Model!$B$11*(IF(J5="double-layer",1,IF(J5="homophone",0.66,IF(J5="idiom",0.33,0))))+Model!$B$12*((5-K5)/4)</f>
        <v/>
      </c>
      <c r="P5" s="8" t="inlineStr">
        <is>
          <t>ramp</t>
        </is>
      </c>
      <c r="Q5" s="8" t="inlineStr"/>
    </row>
    <row r="6">
      <c r="A6" s="8" t="n">
        <v>5</v>
      </c>
      <c r="B6" s="8" t="n">
        <v>1</v>
      </c>
      <c r="C6" s="8" t="n">
        <v>4</v>
      </c>
      <c r="D6" s="8" t="n">
        <v>4</v>
      </c>
      <c r="E6" s="8" t="n">
        <v>2</v>
      </c>
      <c r="F6" s="9" t="n">
        <v>0.36</v>
      </c>
      <c r="G6" s="8" t="n">
        <v>0</v>
      </c>
      <c r="H6" s="8" t="n">
        <v>3</v>
      </c>
      <c r="I6" s="8" t="n">
        <v>1</v>
      </c>
      <c r="J6" s="8" t="inlineStr">
        <is>
          <t>direct</t>
        </is>
      </c>
      <c r="K6" s="8" t="n">
        <v>5</v>
      </c>
      <c r="L6" s="8" t="n">
        <v>5</v>
      </c>
      <c r="M6" s="8" t="n">
        <v>28</v>
      </c>
      <c r="N6" s="8" t="n">
        <v>3</v>
      </c>
      <c r="O6" s="9">
        <f>Model!$B$4+Model!$B$5*((B6-1)/4)+Model!$B$6*((D6-4)/4)+Model!$B$7*((E6-1)/5)+Model!$B$8*(F6)+Model!$B$9*((G6)/2)+Model!$B$10*((H6-3)/11)+Model!$B$11*(IF(J6="double-layer",1,IF(J6="homophone",0.66,IF(J6="idiom",0.33,0))))+Model!$B$12*((5-K6)/4)</f>
        <v/>
      </c>
      <c r="P6" s="8" t="inlineStr">
        <is>
          <t>ramp</t>
        </is>
      </c>
      <c r="Q6" s="8" t="inlineStr"/>
    </row>
    <row r="7">
      <c r="A7" s="8" t="n">
        <v>6</v>
      </c>
      <c r="B7" s="8" t="n">
        <v>1</v>
      </c>
      <c r="C7" s="8" t="n">
        <v>4</v>
      </c>
      <c r="D7" s="8" t="n">
        <v>4</v>
      </c>
      <c r="E7" s="8" t="n">
        <v>2</v>
      </c>
      <c r="F7" s="9" t="n">
        <v>0.3</v>
      </c>
      <c r="G7" s="8" t="n">
        <v>0</v>
      </c>
      <c r="H7" s="8" t="n">
        <v>3</v>
      </c>
      <c r="I7" s="8" t="n">
        <v>1</v>
      </c>
      <c r="J7" s="8" t="inlineStr">
        <is>
          <t>direct</t>
        </is>
      </c>
      <c r="K7" s="8" t="n">
        <v>5</v>
      </c>
      <c r="L7" s="8" t="n">
        <v>5</v>
      </c>
      <c r="M7" s="8" t="n">
        <v>24</v>
      </c>
      <c r="N7" s="8" t="n">
        <v>3</v>
      </c>
      <c r="O7" s="9">
        <f>Model!$B$4+Model!$B$5*((B7-1)/4)+Model!$B$6*((D7-4)/4)+Model!$B$7*((E7-1)/5)+Model!$B$8*(F7)+Model!$B$9*((G7)/2)+Model!$B$10*((H7-3)/11)+Model!$B$11*(IF(J7="double-layer",1,IF(J7="homophone",0.66,IF(J7="idiom",0.33,0))))+Model!$B$12*((5-K7)/4)</f>
        <v/>
      </c>
      <c r="P7" s="8" t="inlineStr">
        <is>
          <t>ramp</t>
        </is>
      </c>
      <c r="Q7" s="8" t="inlineStr"/>
    </row>
    <row r="8">
      <c r="A8" s="8" t="n">
        <v>7</v>
      </c>
      <c r="B8" s="8" t="n">
        <v>2</v>
      </c>
      <c r="C8" s="8" t="n">
        <v>4</v>
      </c>
      <c r="D8" s="8" t="n">
        <v>4</v>
      </c>
      <c r="E8" s="8" t="n">
        <v>2</v>
      </c>
      <c r="F8" s="9" t="n">
        <v>0.33</v>
      </c>
      <c r="G8" s="8" t="n">
        <v>0</v>
      </c>
      <c r="H8" s="8" t="n">
        <v>3</v>
      </c>
      <c r="I8" s="8" t="n">
        <v>1</v>
      </c>
      <c r="J8" s="8" t="inlineStr">
        <is>
          <t>direct</t>
        </is>
      </c>
      <c r="K8" s="8" t="n">
        <v>5</v>
      </c>
      <c r="L8" s="8" t="n">
        <v>5</v>
      </c>
      <c r="M8" s="8" t="n">
        <v>50</v>
      </c>
      <c r="N8" s="8" t="n">
        <v>11</v>
      </c>
      <c r="O8" s="9">
        <f>Model!$B$4+Model!$B$5*((B8-1)/4)+Model!$B$6*((D8-4)/4)+Model!$B$7*((E8-1)/5)+Model!$B$8*(F8)+Model!$B$9*((G8)/2)+Model!$B$10*((H8-3)/11)+Model!$B$11*(IF(J8="double-layer",1,IF(J8="homophone",0.66,IF(J8="idiom",0.33,0))))+Model!$B$12*((5-K8)/4)</f>
        <v/>
      </c>
      <c r="P8" s="8" t="inlineStr">
        <is>
          <t>ramp</t>
        </is>
      </c>
      <c r="Q8" s="8" t="inlineStr"/>
    </row>
    <row r="9">
      <c r="A9" s="8" t="n">
        <v>8</v>
      </c>
      <c r="B9" s="8" t="n">
        <v>2</v>
      </c>
      <c r="C9" s="8" t="n">
        <v>4</v>
      </c>
      <c r="D9" s="8" t="n">
        <v>4</v>
      </c>
      <c r="E9" s="8" t="n">
        <v>2</v>
      </c>
      <c r="F9" s="9" t="n">
        <v>0.33</v>
      </c>
      <c r="G9" s="8" t="n">
        <v>0</v>
      </c>
      <c r="H9" s="8" t="n">
        <v>3</v>
      </c>
      <c r="I9" s="8" t="n">
        <v>1</v>
      </c>
      <c r="J9" s="8" t="inlineStr">
        <is>
          <t>direct</t>
        </is>
      </c>
      <c r="K9" s="8" t="n">
        <v>5</v>
      </c>
      <c r="L9" s="8" t="n">
        <v>5</v>
      </c>
      <c r="M9" s="8" t="n">
        <v>50</v>
      </c>
      <c r="N9" s="8" t="n">
        <v>11</v>
      </c>
      <c r="O9" s="9">
        <f>Model!$B$4+Model!$B$5*((B9-1)/4)+Model!$B$6*((D9-4)/4)+Model!$B$7*((E9-1)/5)+Model!$B$8*(F9)+Model!$B$9*((G9)/2)+Model!$B$10*((H9-3)/11)+Model!$B$11*(IF(J9="double-layer",1,IF(J9="homophone",0.66,IF(J9="idiom",0.33,0))))+Model!$B$12*((5-K9)/4)</f>
        <v/>
      </c>
      <c r="P9" s="8" t="inlineStr">
        <is>
          <t>ramp</t>
        </is>
      </c>
      <c r="Q9" s="8" t="inlineStr"/>
    </row>
    <row r="10">
      <c r="A10" s="8" t="n">
        <v>9</v>
      </c>
      <c r="B10" s="8" t="n">
        <v>2</v>
      </c>
      <c r="C10" s="8" t="n">
        <v>4</v>
      </c>
      <c r="D10" s="8" t="n">
        <v>4</v>
      </c>
      <c r="E10" s="8" t="n">
        <v>2</v>
      </c>
      <c r="F10" s="9" t="n">
        <v>0.33</v>
      </c>
      <c r="G10" s="8" t="n">
        <v>0</v>
      </c>
      <c r="H10" s="8" t="n">
        <v>4</v>
      </c>
      <c r="I10" s="8" t="n">
        <v>1</v>
      </c>
      <c r="J10" s="8" t="inlineStr">
        <is>
          <t>direct</t>
        </is>
      </c>
      <c r="K10" s="8" t="n">
        <v>4</v>
      </c>
      <c r="L10" s="8" t="n">
        <v>5</v>
      </c>
      <c r="M10" s="8" t="n">
        <v>51</v>
      </c>
      <c r="N10" s="8" t="n">
        <v>11</v>
      </c>
      <c r="O10" s="9">
        <f>Model!$B$4+Model!$B$5*((B10-1)/4)+Model!$B$6*((D10-4)/4)+Model!$B$7*((E10-1)/5)+Model!$B$8*(F10)+Model!$B$9*((G10)/2)+Model!$B$10*((H10-3)/11)+Model!$B$11*(IF(J10="double-layer",1,IF(J10="homophone",0.66,IF(J10="idiom",0.33,0))))+Model!$B$12*((5-K10)/4)</f>
        <v/>
      </c>
      <c r="P10" s="8" t="inlineStr">
        <is>
          <t>ramp</t>
        </is>
      </c>
      <c r="Q10" s="8" t="inlineStr"/>
    </row>
    <row r="11">
      <c r="A11" s="10" t="n">
        <v>10</v>
      </c>
      <c r="B11" s="8" t="n">
        <v>2</v>
      </c>
      <c r="C11" s="8" t="n">
        <v>4</v>
      </c>
      <c r="D11" s="8" t="n">
        <v>4</v>
      </c>
      <c r="E11" s="8" t="n">
        <v>2</v>
      </c>
      <c r="F11" s="9" t="n">
        <v>0.4</v>
      </c>
      <c r="G11" s="8" t="n">
        <v>0</v>
      </c>
      <c r="H11" s="8" t="n">
        <v>4</v>
      </c>
      <c r="I11" s="8" t="n">
        <v>1</v>
      </c>
      <c r="J11" s="8" t="inlineStr">
        <is>
          <t>direct</t>
        </is>
      </c>
      <c r="K11" s="8" t="n">
        <v>4</v>
      </c>
      <c r="L11" s="8" t="n">
        <v>5</v>
      </c>
      <c r="M11" s="8" t="n">
        <v>56</v>
      </c>
      <c r="N11" s="8" t="n">
        <v>13</v>
      </c>
      <c r="O11" s="9">
        <f>Model!$B$4+Model!$B$5*((B11-1)/4)+Model!$B$6*((D11-4)/4)+Model!$B$7*((E11-1)/5)+Model!$B$8*(F11)+Model!$B$9*((G11)/2)+Model!$B$10*((H11-3)/11)+Model!$B$11*(IF(J11="double-layer",1,IF(J11="homophone",0.66,IF(J11="idiom",0.33,0))))+Model!$B$12*((5-K11)/4)</f>
        <v/>
      </c>
      <c r="P11" s="8" t="inlineStr">
        <is>
          <t>spike</t>
        </is>
      </c>
      <c r="Q11" s="8" t="inlineStr">
        <is>
          <t>SPIKE: first full 3-word warmup pressure; scramble sawtooth peaks</t>
        </is>
      </c>
    </row>
    <row r="12">
      <c r="A12" s="8" t="n">
        <v>11</v>
      </c>
      <c r="B12" s="8" t="n">
        <v>2</v>
      </c>
      <c r="C12" s="8" t="n">
        <v>4</v>
      </c>
      <c r="D12" s="8" t="n">
        <v>4</v>
      </c>
      <c r="E12" s="8" t="n">
        <v>2</v>
      </c>
      <c r="F12" s="9" t="n">
        <v>0.27</v>
      </c>
      <c r="G12" s="8" t="n">
        <v>0</v>
      </c>
      <c r="H12" s="8" t="n">
        <v>4</v>
      </c>
      <c r="I12" s="8" t="n">
        <v>1</v>
      </c>
      <c r="J12" s="8" t="inlineStr">
        <is>
          <t>direct</t>
        </is>
      </c>
      <c r="K12" s="8" t="n">
        <v>4</v>
      </c>
      <c r="L12" s="8" t="n">
        <v>5</v>
      </c>
      <c r="M12" s="8" t="n">
        <v>47</v>
      </c>
      <c r="N12" s="8" t="n">
        <v>10</v>
      </c>
      <c r="O12" s="9">
        <f>Model!$B$4+Model!$B$5*((B12-1)/4)+Model!$B$6*((D12-4)/4)+Model!$B$7*((E12-1)/5)+Model!$B$8*(F12)+Model!$B$9*((G12)/2)+Model!$B$10*((H12-3)/11)+Model!$B$11*(IF(J12="double-layer",1,IF(J12="homophone",0.66,IF(J12="idiom",0.33,0))))+Model!$B$12*((5-K12)/4)</f>
        <v/>
      </c>
      <c r="P12" s="8" t="inlineStr">
        <is>
          <t>relief</t>
        </is>
      </c>
      <c r="Q12" s="8" t="inlineStr">
        <is>
          <t>Relief: easier scramble after the spike (breather)</t>
        </is>
      </c>
    </row>
    <row r="13">
      <c r="A13" s="6" t="n">
        <v>12</v>
      </c>
      <c r="B13" s="6" t="n">
        <v>2</v>
      </c>
      <c r="C13" s="6" t="n">
        <v>4</v>
      </c>
      <c r="D13" s="6" t="n">
        <v>4</v>
      </c>
      <c r="E13" s="6" t="n">
        <v>2</v>
      </c>
      <c r="F13" s="7" t="n">
        <v>0.33</v>
      </c>
      <c r="G13" s="6" t="n">
        <v>0</v>
      </c>
      <c r="H13" s="6" t="n">
        <v>4</v>
      </c>
      <c r="I13" s="6" t="n">
        <v>1</v>
      </c>
      <c r="J13" s="6" t="inlineStr">
        <is>
          <t>direct</t>
        </is>
      </c>
      <c r="K13" s="6" t="n">
        <v>4</v>
      </c>
      <c r="L13" s="6" t="n">
        <v>5</v>
      </c>
      <c r="M13" s="6" t="n">
        <v>51</v>
      </c>
      <c r="N13" s="6" t="n">
        <v>11</v>
      </c>
      <c r="O13" s="7">
        <f>Model!$B$4+Model!$B$5*((B13-1)/4)+Model!$B$6*((D13-4)/4)+Model!$B$7*((E13-1)/5)+Model!$B$8*(F13)+Model!$B$9*((G13)/2)+Model!$B$10*((H13-3)/11)+Model!$B$11*(IF(J13="double-layer",1,IF(J13="homophone",0.66,IF(J13="idiom",0.33,0))))+Model!$B$12*((5-K13)/4)</f>
        <v/>
      </c>
      <c r="P13" s="6" t="inlineStr">
        <is>
          <t>ramp</t>
        </is>
      </c>
      <c r="Q13" s="6" t="inlineStr">
        <is>
          <t>ANCHOR (=prototype v12); pinned P1-P8</t>
        </is>
      </c>
    </row>
    <row r="14">
      <c r="A14" s="8" t="n">
        <v>13</v>
      </c>
      <c r="B14" s="8" t="n">
        <v>2</v>
      </c>
      <c r="C14" s="8" t="n">
        <v>4</v>
      </c>
      <c r="D14" s="8" t="n">
        <v>4</v>
      </c>
      <c r="E14" s="8" t="n">
        <v>2</v>
      </c>
      <c r="F14" s="9" t="n">
        <v>0.34</v>
      </c>
      <c r="G14" s="8" t="n">
        <v>0</v>
      </c>
      <c r="H14" s="8" t="n">
        <v>4</v>
      </c>
      <c r="I14" s="8" t="n">
        <v>1</v>
      </c>
      <c r="J14" s="8" t="inlineStr">
        <is>
          <t>direct</t>
        </is>
      </c>
      <c r="K14" s="8" t="n">
        <v>4</v>
      </c>
      <c r="L14" s="8" t="n">
        <v>5</v>
      </c>
      <c r="M14" s="8" t="n">
        <v>52</v>
      </c>
      <c r="N14" s="8" t="n">
        <v>12</v>
      </c>
      <c r="O14" s="9">
        <f>Model!$B$4+Model!$B$5*((B14-1)/4)+Model!$B$6*((D14-4)/4)+Model!$B$7*((E14-1)/5)+Model!$B$8*(F14)+Model!$B$9*((G14)/2)+Model!$B$10*((H14-3)/11)+Model!$B$11*(IF(J14="double-layer",1,IF(J14="homophone",0.66,IF(J14="idiom",0.33,0))))+Model!$B$12*((5-K14)/4)</f>
        <v/>
      </c>
      <c r="P14" s="8" t="inlineStr">
        <is>
          <t>ramp</t>
        </is>
      </c>
      <c r="Q14" s="8" t="inlineStr"/>
    </row>
    <row r="15">
      <c r="A15" s="8" t="n">
        <v>14</v>
      </c>
      <c r="B15" s="8" t="n">
        <v>2</v>
      </c>
      <c r="C15" s="8" t="n">
        <v>4</v>
      </c>
      <c r="D15" s="8" t="n">
        <v>4</v>
      </c>
      <c r="E15" s="8" t="n">
        <v>2</v>
      </c>
      <c r="F15" s="9" t="n">
        <v>0.38</v>
      </c>
      <c r="G15" s="8" t="n">
        <v>0</v>
      </c>
      <c r="H15" s="8" t="n">
        <v>4</v>
      </c>
      <c r="I15" s="8" t="n">
        <v>1</v>
      </c>
      <c r="J15" s="8" t="inlineStr">
        <is>
          <t>direct</t>
        </is>
      </c>
      <c r="K15" s="8" t="n">
        <v>4</v>
      </c>
      <c r="L15" s="8" t="n">
        <v>5</v>
      </c>
      <c r="M15" s="8" t="n">
        <v>55</v>
      </c>
      <c r="N15" s="8" t="n">
        <v>13</v>
      </c>
      <c r="O15" s="9">
        <f>Model!$B$4+Model!$B$5*((B15-1)/4)+Model!$B$6*((D15-4)/4)+Model!$B$7*((E15-1)/5)+Model!$B$8*(F15)+Model!$B$9*((G15)/2)+Model!$B$10*((H15-3)/11)+Model!$B$11*(IF(J15="double-layer",1,IF(J15="homophone",0.66,IF(J15="idiom",0.33,0))))+Model!$B$12*((5-K15)/4)</f>
        <v/>
      </c>
      <c r="P15" s="8" t="inlineStr">
        <is>
          <t>ramp</t>
        </is>
      </c>
      <c r="Q15" s="8" t="inlineStr"/>
    </row>
    <row r="16">
      <c r="A16" s="8" t="n">
        <v>15</v>
      </c>
      <c r="B16" s="8" t="n">
        <v>2</v>
      </c>
      <c r="C16" s="8" t="n">
        <v>4</v>
      </c>
      <c r="D16" s="8" t="n">
        <v>4</v>
      </c>
      <c r="E16" s="8" t="n">
        <v>2</v>
      </c>
      <c r="F16" s="9" t="n">
        <v>0.39</v>
      </c>
      <c r="G16" s="8" t="n">
        <v>0</v>
      </c>
      <c r="H16" s="8" t="n">
        <v>4</v>
      </c>
      <c r="I16" s="8" t="n">
        <v>1</v>
      </c>
      <c r="J16" s="8" t="inlineStr">
        <is>
          <t>direct</t>
        </is>
      </c>
      <c r="K16" s="8" t="n">
        <v>4</v>
      </c>
      <c r="L16" s="8" t="n">
        <v>5</v>
      </c>
      <c r="M16" s="8" t="n">
        <v>55</v>
      </c>
      <c r="N16" s="8" t="n">
        <v>13</v>
      </c>
      <c r="O16" s="9">
        <f>Model!$B$4+Model!$B$5*((B16-1)/4)+Model!$B$6*((D16-4)/4)+Model!$B$7*((E16-1)/5)+Model!$B$8*(F16)+Model!$B$9*((G16)/2)+Model!$B$10*((H16-3)/11)+Model!$B$11*(IF(J16="double-layer",1,IF(J16="homophone",0.66,IF(J16="idiom",0.33,0))))+Model!$B$12*((5-K16)/4)</f>
        <v/>
      </c>
      <c r="P16" s="8" t="inlineStr">
        <is>
          <t>ramp</t>
        </is>
      </c>
      <c r="Q16" s="8" t="inlineStr"/>
    </row>
    <row r="17">
      <c r="A17" s="8" t="n">
        <v>16</v>
      </c>
      <c r="B17" s="8" t="n">
        <v>2</v>
      </c>
      <c r="C17" s="8" t="n">
        <v>4</v>
      </c>
      <c r="D17" s="8" t="n">
        <v>4</v>
      </c>
      <c r="E17" s="8" t="n">
        <v>3</v>
      </c>
      <c r="F17" s="9" t="n">
        <v>0.34</v>
      </c>
      <c r="G17" s="8" t="n">
        <v>0</v>
      </c>
      <c r="H17" s="8" t="n">
        <v>4</v>
      </c>
      <c r="I17" s="8" t="n">
        <v>1</v>
      </c>
      <c r="J17" s="8" t="inlineStr">
        <is>
          <t>direct</t>
        </is>
      </c>
      <c r="K17" s="8" t="n">
        <v>4</v>
      </c>
      <c r="L17" s="8" t="n">
        <v>5</v>
      </c>
      <c r="M17" s="8" t="n">
        <v>53</v>
      </c>
      <c r="N17" s="8" t="n">
        <v>12</v>
      </c>
      <c r="O17" s="9">
        <f>Model!$B$4+Model!$B$5*((B17-1)/4)+Model!$B$6*((D17-4)/4)+Model!$B$7*((E17-1)/5)+Model!$B$8*(F17)+Model!$B$9*((G17)/2)+Model!$B$10*((H17-3)/11)+Model!$B$11*(IF(J17="double-layer",1,IF(J17="homophone",0.66,IF(J17="idiom",0.33,0))))+Model!$B$12*((5-K17)/4)</f>
        <v/>
      </c>
      <c r="P17" s="8" t="inlineStr">
        <is>
          <t>ramp</t>
        </is>
      </c>
      <c r="Q17" s="8" t="inlineStr"/>
    </row>
    <row r="18">
      <c r="A18" s="8" t="n">
        <v>17</v>
      </c>
      <c r="B18" s="8" t="n">
        <v>2</v>
      </c>
      <c r="C18" s="8" t="n">
        <v>4</v>
      </c>
      <c r="D18" s="8" t="n">
        <v>4</v>
      </c>
      <c r="E18" s="8" t="n">
        <v>3</v>
      </c>
      <c r="F18" s="9" t="n">
        <v>0.38</v>
      </c>
      <c r="G18" s="8" t="n">
        <v>0</v>
      </c>
      <c r="H18" s="8" t="n">
        <v>4</v>
      </c>
      <c r="I18" s="8" t="n">
        <v>1</v>
      </c>
      <c r="J18" s="8" t="inlineStr">
        <is>
          <t>direct</t>
        </is>
      </c>
      <c r="K18" s="8" t="n">
        <v>4</v>
      </c>
      <c r="L18" s="8" t="n">
        <v>5</v>
      </c>
      <c r="M18" s="8" t="n">
        <v>55</v>
      </c>
      <c r="N18" s="8" t="n">
        <v>13</v>
      </c>
      <c r="O18" s="9">
        <f>Model!$B$4+Model!$B$5*((B18-1)/4)+Model!$B$6*((D18-4)/4)+Model!$B$7*((E18-1)/5)+Model!$B$8*(F18)+Model!$B$9*((G18)/2)+Model!$B$10*((H18-3)/11)+Model!$B$11*(IF(J18="double-layer",1,IF(J18="homophone",0.66,IF(J18="idiom",0.33,0))))+Model!$B$12*((5-K18)/4)</f>
        <v/>
      </c>
      <c r="P18" s="8" t="inlineStr">
        <is>
          <t>ramp</t>
        </is>
      </c>
      <c r="Q18" s="8" t="inlineStr"/>
    </row>
    <row r="19">
      <c r="A19" s="8" t="n">
        <v>18</v>
      </c>
      <c r="B19" s="8" t="n">
        <v>2</v>
      </c>
      <c r="C19" s="8" t="n">
        <v>4</v>
      </c>
      <c r="D19" s="8" t="n">
        <v>4</v>
      </c>
      <c r="E19" s="8" t="n">
        <v>3</v>
      </c>
      <c r="F19" s="9" t="n">
        <v>0.4</v>
      </c>
      <c r="G19" s="8" t="n">
        <v>0</v>
      </c>
      <c r="H19" s="8" t="n">
        <v>4</v>
      </c>
      <c r="I19" s="8" t="n">
        <v>1</v>
      </c>
      <c r="J19" s="8" t="inlineStr">
        <is>
          <t>direct</t>
        </is>
      </c>
      <c r="K19" s="8" t="n">
        <v>4</v>
      </c>
      <c r="L19" s="8" t="n">
        <v>6</v>
      </c>
      <c r="M19" s="8" t="n">
        <v>57</v>
      </c>
      <c r="N19" s="8" t="n">
        <v>14</v>
      </c>
      <c r="O19" s="9">
        <f>Model!$B$4+Model!$B$5*((B19-1)/4)+Model!$B$6*((D19-4)/4)+Model!$B$7*((E19-1)/5)+Model!$B$8*(F19)+Model!$B$9*((G19)/2)+Model!$B$10*((H19-3)/11)+Model!$B$11*(IF(J19="double-layer",1,IF(J19="homophone",0.66,IF(J19="idiom",0.33,0))))+Model!$B$12*((5-K19)/4)</f>
        <v/>
      </c>
      <c r="P19" s="8" t="inlineStr">
        <is>
          <t>ramp</t>
        </is>
      </c>
      <c r="Q19" s="8" t="inlineStr"/>
    </row>
    <row r="20">
      <c r="A20" s="8" t="n">
        <v>19</v>
      </c>
      <c r="B20" s="8" t="n">
        <v>2</v>
      </c>
      <c r="C20" s="8" t="n">
        <v>4</v>
      </c>
      <c r="D20" s="8" t="n">
        <v>4</v>
      </c>
      <c r="E20" s="8" t="n">
        <v>3</v>
      </c>
      <c r="F20" s="9" t="n">
        <v>0.41</v>
      </c>
      <c r="G20" s="8" t="n">
        <v>0</v>
      </c>
      <c r="H20" s="8" t="n">
        <v>4</v>
      </c>
      <c r="I20" s="8" t="n">
        <v>1</v>
      </c>
      <c r="J20" s="8" t="inlineStr">
        <is>
          <t>direct</t>
        </is>
      </c>
      <c r="K20" s="8" t="n">
        <v>4</v>
      </c>
      <c r="L20" s="8" t="n">
        <v>6</v>
      </c>
      <c r="M20" s="8" t="n">
        <v>57</v>
      </c>
      <c r="N20" s="8" t="n">
        <v>14</v>
      </c>
      <c r="O20" s="9">
        <f>Model!$B$4+Model!$B$5*((B20-1)/4)+Model!$B$6*((D20-4)/4)+Model!$B$7*((E20-1)/5)+Model!$B$8*(F20)+Model!$B$9*((G20)/2)+Model!$B$10*((H20-3)/11)+Model!$B$11*(IF(J20="double-layer",1,IF(J20="homophone",0.66,IF(J20="idiom",0.33,0))))+Model!$B$12*((5-K20)/4)</f>
        <v/>
      </c>
      <c r="P20" s="8" t="inlineStr">
        <is>
          <t>ramp</t>
        </is>
      </c>
      <c r="Q20" s="8" t="inlineStr"/>
    </row>
    <row r="21">
      <c r="A21" s="10" t="n">
        <v>20</v>
      </c>
      <c r="B21" s="8" t="n">
        <v>2</v>
      </c>
      <c r="C21" s="8" t="n">
        <v>4</v>
      </c>
      <c r="D21" s="8" t="n">
        <v>4</v>
      </c>
      <c r="E21" s="8" t="n">
        <v>3</v>
      </c>
      <c r="F21" s="9" t="n">
        <v>0.49</v>
      </c>
      <c r="G21" s="8" t="n">
        <v>0</v>
      </c>
      <c r="H21" s="8" t="n">
        <v>4</v>
      </c>
      <c r="I21" s="8" t="n">
        <v>1</v>
      </c>
      <c r="J21" s="8" t="inlineStr">
        <is>
          <t>homophone</t>
        </is>
      </c>
      <c r="K21" s="8" t="n">
        <v>4</v>
      </c>
      <c r="L21" s="8" t="n">
        <v>6</v>
      </c>
      <c r="M21" s="8" t="n">
        <v>75</v>
      </c>
      <c r="N21" s="8" t="n">
        <v>21</v>
      </c>
      <c r="O21" s="9">
        <f>Model!$B$4+Model!$B$5*((B21-1)/4)+Model!$B$6*((D21-4)/4)+Model!$B$7*((E21-1)/5)+Model!$B$8*(F21)+Model!$B$9*((G21)/2)+Model!$B$10*((H21-3)/11)+Model!$B$11*(IF(J21="double-layer",1,IF(J21="homophone",0.66,IF(J21="idiom",0.33,0))))+Model!$B$12*((5-K21)/4)</f>
        <v/>
      </c>
      <c r="P21" s="8" t="inlineStr">
        <is>
          <t>spike</t>
        </is>
      </c>
      <c r="Q21" s="8" t="inlineStr">
        <is>
          <t>SPIKE: first homophone pun locks in as the block standard</t>
        </is>
      </c>
    </row>
    <row r="22">
      <c r="A22" s="8" t="n">
        <v>21</v>
      </c>
      <c r="B22" s="8" t="n">
        <v>2</v>
      </c>
      <c r="C22" s="8" t="n">
        <v>4</v>
      </c>
      <c r="D22" s="8" t="n">
        <v>4</v>
      </c>
      <c r="E22" s="8" t="n">
        <v>3</v>
      </c>
      <c r="F22" s="9" t="n">
        <v>0.37</v>
      </c>
      <c r="G22" s="8" t="n">
        <v>0</v>
      </c>
      <c r="H22" s="8" t="n">
        <v>4</v>
      </c>
      <c r="I22" s="8" t="n">
        <v>1</v>
      </c>
      <c r="J22" s="8" t="inlineStr">
        <is>
          <t>homophone</t>
        </is>
      </c>
      <c r="K22" s="8" t="n">
        <v>4</v>
      </c>
      <c r="L22" s="8" t="n">
        <v>6</v>
      </c>
      <c r="M22" s="8" t="n">
        <v>66</v>
      </c>
      <c r="N22" s="8" t="n">
        <v>18</v>
      </c>
      <c r="O22" s="9">
        <f>Model!$B$4+Model!$B$5*((B22-1)/4)+Model!$B$6*((D22-4)/4)+Model!$B$7*((E22-1)/5)+Model!$B$8*(F22)+Model!$B$9*((G22)/2)+Model!$B$10*((H22-3)/11)+Model!$B$11*(IF(J22="double-layer",1,IF(J22="homophone",0.66,IF(J22="idiom",0.33,0))))+Model!$B$12*((5-K22)/4)</f>
        <v/>
      </c>
      <c r="P22" s="8" t="inlineStr">
        <is>
          <t>relief</t>
        </is>
      </c>
      <c r="Q22" s="8" t="inlineStr">
        <is>
          <t>Relief: easier scramble after the spike (breather)</t>
        </is>
      </c>
    </row>
    <row r="23">
      <c r="A23" s="8" t="n">
        <v>22</v>
      </c>
      <c r="B23" s="8" t="n">
        <v>2</v>
      </c>
      <c r="C23" s="8" t="n">
        <v>4</v>
      </c>
      <c r="D23" s="8" t="n">
        <v>4</v>
      </c>
      <c r="E23" s="8" t="n">
        <v>3</v>
      </c>
      <c r="F23" s="9" t="n">
        <v>0.41</v>
      </c>
      <c r="G23" s="8" t="n">
        <v>0</v>
      </c>
      <c r="H23" s="8" t="n">
        <v>4</v>
      </c>
      <c r="I23" s="8" t="n">
        <v>1</v>
      </c>
      <c r="J23" s="8" t="inlineStr">
        <is>
          <t>homophone</t>
        </is>
      </c>
      <c r="K23" s="8" t="n">
        <v>4</v>
      </c>
      <c r="L23" s="8" t="n">
        <v>6</v>
      </c>
      <c r="M23" s="8" t="n">
        <v>69</v>
      </c>
      <c r="N23" s="8" t="n">
        <v>19</v>
      </c>
      <c r="O23" s="9">
        <f>Model!$B$4+Model!$B$5*((B23-1)/4)+Model!$B$6*((D23-4)/4)+Model!$B$7*((E23-1)/5)+Model!$B$8*(F23)+Model!$B$9*((G23)/2)+Model!$B$10*((H23-3)/11)+Model!$B$11*(IF(J23="double-layer",1,IF(J23="homophone",0.66,IF(J23="idiom",0.33,0))))+Model!$B$12*((5-K23)/4)</f>
        <v/>
      </c>
      <c r="P23" s="8" t="inlineStr">
        <is>
          <t>ramp</t>
        </is>
      </c>
      <c r="Q23" s="8" t="inlineStr"/>
    </row>
    <row r="24">
      <c r="A24" s="6" t="n">
        <v>23</v>
      </c>
      <c r="B24" s="6" t="n">
        <v>2</v>
      </c>
      <c r="C24" s="6" t="n">
        <v>4</v>
      </c>
      <c r="D24" s="6" t="n">
        <v>4</v>
      </c>
      <c r="E24" s="6" t="n">
        <v>3</v>
      </c>
      <c r="F24" s="7" t="n">
        <v>0.45</v>
      </c>
      <c r="G24" s="6" t="n">
        <v>0</v>
      </c>
      <c r="H24" s="6" t="n">
        <v>4</v>
      </c>
      <c r="I24" s="6" t="n">
        <v>1</v>
      </c>
      <c r="J24" s="6" t="inlineStr">
        <is>
          <t>homophone</t>
        </is>
      </c>
      <c r="K24" s="6" t="n">
        <v>4</v>
      </c>
      <c r="L24" s="6" t="n">
        <v>6</v>
      </c>
      <c r="M24" s="6" t="n">
        <v>72</v>
      </c>
      <c r="N24" s="6" t="n">
        <v>20</v>
      </c>
      <c r="O24" s="7">
        <f>Model!$B$4+Model!$B$5*((B24-1)/4)+Model!$B$6*((D24-4)/4)+Model!$B$7*((E24-1)/5)+Model!$B$8*(F24)+Model!$B$9*((G24)/2)+Model!$B$10*((H24-3)/11)+Model!$B$11*(IF(J24="double-layer",1,IF(J24="homophone",0.66,IF(J24="idiom",0.33,0))))+Model!$B$12*((5-K24)/4)</f>
        <v/>
      </c>
      <c r="P24" s="6" t="inlineStr">
        <is>
          <t>ramp</t>
        </is>
      </c>
      <c r="Q24" s="6" t="inlineStr">
        <is>
          <t>ANCHOR (=prototype v23); pinned P1-P8</t>
        </is>
      </c>
    </row>
    <row r="25">
      <c r="A25" s="8" t="n">
        <v>24</v>
      </c>
      <c r="B25" s="8" t="n">
        <v>2</v>
      </c>
      <c r="C25" s="8" t="n">
        <v>4</v>
      </c>
      <c r="D25" s="8" t="n">
        <v>4</v>
      </c>
      <c r="E25" s="8" t="n">
        <v>3</v>
      </c>
      <c r="F25" s="9" t="n">
        <v>0.49</v>
      </c>
      <c r="G25" s="8" t="n">
        <v>0</v>
      </c>
      <c r="H25" s="8" t="n">
        <v>4</v>
      </c>
      <c r="I25" s="8" t="n">
        <v>1</v>
      </c>
      <c r="J25" s="8" t="inlineStr">
        <is>
          <t>homophone</t>
        </is>
      </c>
      <c r="K25" s="8" t="n">
        <v>4</v>
      </c>
      <c r="L25" s="8" t="n">
        <v>6</v>
      </c>
      <c r="M25" s="8" t="n">
        <v>75</v>
      </c>
      <c r="N25" s="8" t="n">
        <v>21</v>
      </c>
      <c r="O25" s="9">
        <f>Model!$B$4+Model!$B$5*((B25-1)/4)+Model!$B$6*((D25-4)/4)+Model!$B$7*((E25-1)/5)+Model!$B$8*(F25)+Model!$B$9*((G25)/2)+Model!$B$10*((H25-3)/11)+Model!$B$11*(IF(J25="double-layer",1,IF(J25="homophone",0.66,IF(J25="idiom",0.33,0))))+Model!$B$12*((5-K25)/4)</f>
        <v/>
      </c>
      <c r="P25" s="8" t="inlineStr">
        <is>
          <t>ramp</t>
        </is>
      </c>
      <c r="Q25" s="8" t="inlineStr"/>
    </row>
    <row r="26">
      <c r="A26" s="8" t="n">
        <v>25</v>
      </c>
      <c r="B26" s="8" t="n">
        <v>2</v>
      </c>
      <c r="C26" s="8" t="n">
        <v>4</v>
      </c>
      <c r="D26" s="8" t="n">
        <v>4</v>
      </c>
      <c r="E26" s="8" t="n">
        <v>3</v>
      </c>
      <c r="F26" s="9" t="n">
        <v>0.51</v>
      </c>
      <c r="G26" s="8" t="n">
        <v>0</v>
      </c>
      <c r="H26" s="8" t="n">
        <v>5</v>
      </c>
      <c r="I26" s="8" t="n">
        <v>1</v>
      </c>
      <c r="J26" s="8" t="inlineStr">
        <is>
          <t>homophone</t>
        </is>
      </c>
      <c r="K26" s="8" t="n">
        <v>4</v>
      </c>
      <c r="L26" s="8" t="n">
        <v>6</v>
      </c>
      <c r="M26" s="8" t="n">
        <v>77</v>
      </c>
      <c r="N26" s="8" t="n">
        <v>22</v>
      </c>
      <c r="O26" s="9">
        <f>Model!$B$4+Model!$B$5*((B26-1)/4)+Model!$B$6*((D26-4)/4)+Model!$B$7*((E26-1)/5)+Model!$B$8*(F26)+Model!$B$9*((G26)/2)+Model!$B$10*((H26-3)/11)+Model!$B$11*(IF(J26="double-layer",1,IF(J26="homophone",0.66,IF(J26="idiom",0.33,0))))+Model!$B$12*((5-K26)/4)</f>
        <v/>
      </c>
      <c r="P26" s="8" t="inlineStr">
        <is>
          <t>ramp</t>
        </is>
      </c>
      <c r="Q26" s="8" t="inlineStr"/>
    </row>
    <row r="27">
      <c r="A27" s="8" t="n">
        <v>26</v>
      </c>
      <c r="B27" s="8" t="n">
        <v>2</v>
      </c>
      <c r="C27" s="8" t="n">
        <v>4</v>
      </c>
      <c r="D27" s="8" t="n">
        <v>4</v>
      </c>
      <c r="E27" s="8" t="n">
        <v>3</v>
      </c>
      <c r="F27" s="9" t="n">
        <v>0.46</v>
      </c>
      <c r="G27" s="8" t="n">
        <v>0</v>
      </c>
      <c r="H27" s="8" t="n">
        <v>5</v>
      </c>
      <c r="I27" s="8" t="n">
        <v>1</v>
      </c>
      <c r="J27" s="8" t="inlineStr">
        <is>
          <t>homophone</t>
        </is>
      </c>
      <c r="K27" s="8" t="n">
        <v>4</v>
      </c>
      <c r="L27" s="8" t="n">
        <v>6</v>
      </c>
      <c r="M27" s="8" t="n">
        <v>73</v>
      </c>
      <c r="N27" s="8" t="n">
        <v>20</v>
      </c>
      <c r="O27" s="9">
        <f>Model!$B$4+Model!$B$5*((B27-1)/4)+Model!$B$6*((D27-4)/4)+Model!$B$7*((E27-1)/5)+Model!$B$8*(F27)+Model!$B$9*((G27)/2)+Model!$B$10*((H27-3)/11)+Model!$B$11*(IF(J27="double-layer",1,IF(J27="homophone",0.66,IF(J27="idiom",0.33,0))))+Model!$B$12*((5-K27)/4)</f>
        <v/>
      </c>
      <c r="P27" s="8" t="inlineStr">
        <is>
          <t>ramp</t>
        </is>
      </c>
      <c r="Q27" s="8" t="inlineStr"/>
    </row>
    <row r="28">
      <c r="A28" s="8" t="n">
        <v>27</v>
      </c>
      <c r="B28" s="8" t="n">
        <v>2</v>
      </c>
      <c r="C28" s="8" t="n">
        <v>4</v>
      </c>
      <c r="D28" s="8" t="n">
        <v>4</v>
      </c>
      <c r="E28" s="8" t="n">
        <v>4</v>
      </c>
      <c r="F28" s="9" t="n">
        <v>0.5</v>
      </c>
      <c r="G28" s="8" t="n">
        <v>0</v>
      </c>
      <c r="H28" s="8" t="n">
        <v>6</v>
      </c>
      <c r="I28" s="8" t="n">
        <v>1</v>
      </c>
      <c r="J28" s="8" t="inlineStr">
        <is>
          <t>homophone</t>
        </is>
      </c>
      <c r="K28" s="8" t="n">
        <v>4</v>
      </c>
      <c r="L28" s="8" t="n">
        <v>6</v>
      </c>
      <c r="M28" s="8" t="n">
        <v>78</v>
      </c>
      <c r="N28" s="8" t="n">
        <v>22</v>
      </c>
      <c r="O28" s="9">
        <f>Model!$B$4+Model!$B$5*((B28-1)/4)+Model!$B$6*((D28-4)/4)+Model!$B$7*((E28-1)/5)+Model!$B$8*(F28)+Model!$B$9*((G28)/2)+Model!$B$10*((H28-3)/11)+Model!$B$11*(IF(J28="double-layer",1,IF(J28="homophone",0.66,IF(J28="idiom",0.33,0))))+Model!$B$12*((5-K28)/4)</f>
        <v/>
      </c>
      <c r="P28" s="8" t="inlineStr">
        <is>
          <t>ramp</t>
        </is>
      </c>
      <c r="Q28" s="8" t="inlineStr"/>
    </row>
    <row r="29">
      <c r="A29" s="8" t="n">
        <v>28</v>
      </c>
      <c r="B29" s="8" t="n">
        <v>2</v>
      </c>
      <c r="C29" s="8" t="n">
        <v>4</v>
      </c>
      <c r="D29" s="8" t="n">
        <v>4</v>
      </c>
      <c r="E29" s="8" t="n">
        <v>4</v>
      </c>
      <c r="F29" s="9" t="n">
        <v>0.52</v>
      </c>
      <c r="G29" s="8" t="n">
        <v>0</v>
      </c>
      <c r="H29" s="8" t="n">
        <v>6</v>
      </c>
      <c r="I29" s="8" t="n">
        <v>1</v>
      </c>
      <c r="J29" s="8" t="inlineStr">
        <is>
          <t>homophone</t>
        </is>
      </c>
      <c r="K29" s="8" t="n">
        <v>4</v>
      </c>
      <c r="L29" s="8" t="n">
        <v>6</v>
      </c>
      <c r="M29" s="8" t="n">
        <v>79</v>
      </c>
      <c r="N29" s="8" t="n">
        <v>23</v>
      </c>
      <c r="O29" s="9">
        <f>Model!$B$4+Model!$B$5*((B29-1)/4)+Model!$B$6*((D29-4)/4)+Model!$B$7*((E29-1)/5)+Model!$B$8*(F29)+Model!$B$9*((G29)/2)+Model!$B$10*((H29-3)/11)+Model!$B$11*(IF(J29="double-layer",1,IF(J29="homophone",0.66,IF(J29="idiom",0.33,0))))+Model!$B$12*((5-K29)/4)</f>
        <v/>
      </c>
      <c r="P29" s="8" t="inlineStr">
        <is>
          <t>ramp</t>
        </is>
      </c>
      <c r="Q29" s="8" t="inlineStr"/>
    </row>
    <row r="30">
      <c r="A30" s="8" t="n">
        <v>29</v>
      </c>
      <c r="B30" s="8" t="n">
        <v>2</v>
      </c>
      <c r="C30" s="8" t="n">
        <v>4</v>
      </c>
      <c r="D30" s="8" t="n">
        <v>4</v>
      </c>
      <c r="E30" s="8" t="n">
        <v>4</v>
      </c>
      <c r="F30" s="9" t="n">
        <v>0.53</v>
      </c>
      <c r="G30" s="8" t="n">
        <v>0</v>
      </c>
      <c r="H30" s="8" t="n">
        <v>7</v>
      </c>
      <c r="I30" s="8" t="n">
        <v>2</v>
      </c>
      <c r="J30" s="8" t="inlineStr">
        <is>
          <t>homophone</t>
        </is>
      </c>
      <c r="K30" s="8" t="n">
        <v>4</v>
      </c>
      <c r="L30" s="8" t="n">
        <v>6</v>
      </c>
      <c r="M30" s="8" t="n">
        <v>81</v>
      </c>
      <c r="N30" s="8" t="n">
        <v>23</v>
      </c>
      <c r="O30" s="9">
        <f>Model!$B$4+Model!$B$5*((B30-1)/4)+Model!$B$6*((D30-4)/4)+Model!$B$7*((E30-1)/5)+Model!$B$8*(F30)+Model!$B$9*((G30)/2)+Model!$B$10*((H30-3)/11)+Model!$B$11*(IF(J30="double-layer",1,IF(J30="homophone",0.66,IF(J30="idiom",0.33,0))))+Model!$B$12*((5-K30)/4)</f>
        <v/>
      </c>
      <c r="P30" s="8" t="inlineStr">
        <is>
          <t>ramp</t>
        </is>
      </c>
      <c r="Q30" s="8" t="inlineStr"/>
    </row>
    <row r="31">
      <c r="A31" s="10" t="n">
        <v>30</v>
      </c>
      <c r="B31" s="8" t="n">
        <v>2</v>
      </c>
      <c r="C31" s="8" t="n">
        <v>4</v>
      </c>
      <c r="D31" s="8" t="n">
        <v>4</v>
      </c>
      <c r="E31" s="8" t="n">
        <v>4</v>
      </c>
      <c r="F31" s="9" t="n">
        <v>0.62</v>
      </c>
      <c r="G31" s="8" t="n">
        <v>0</v>
      </c>
      <c r="H31" s="8" t="n">
        <v>7</v>
      </c>
      <c r="I31" s="8" t="n">
        <v>2</v>
      </c>
      <c r="J31" s="8" t="inlineStr">
        <is>
          <t>homophone</t>
        </is>
      </c>
      <c r="K31" s="8" t="n">
        <v>4</v>
      </c>
      <c r="L31" s="8" t="n">
        <v>6</v>
      </c>
      <c r="M31" s="8" t="n">
        <v>87</v>
      </c>
      <c r="N31" s="8" t="n">
        <v>26</v>
      </c>
      <c r="O31" s="9">
        <f>Model!$B$4+Model!$B$5*((B31-1)/4)+Model!$B$6*((D31-4)/4)+Model!$B$7*((E31-1)/5)+Model!$B$8*(F31)+Model!$B$9*((G31)/2)+Model!$B$10*((H31-3)/11)+Model!$B$11*(IF(J31="double-layer",1,IF(J31="homophone",0.66,IF(J31="idiom",0.33,0))))+Model!$B$12*((5-K31)/4)</f>
        <v/>
      </c>
      <c r="P31" s="8" t="inlineStr">
        <is>
          <t>spike</t>
        </is>
      </c>
      <c r="Q31" s="8" t="inlineStr">
        <is>
          <t>SPIKE: approach to first 2-word answer; traps loom</t>
        </is>
      </c>
    </row>
    <row r="32">
      <c r="A32" s="8" t="n">
        <v>31</v>
      </c>
      <c r="B32" s="8" t="n">
        <v>2</v>
      </c>
      <c r="C32" s="8" t="n">
        <v>4</v>
      </c>
      <c r="D32" s="8" t="n">
        <v>5</v>
      </c>
      <c r="E32" s="8" t="n">
        <v>4</v>
      </c>
      <c r="F32" s="9" t="n">
        <v>0.5</v>
      </c>
      <c r="G32" s="8" t="n">
        <v>1</v>
      </c>
      <c r="H32" s="8" t="n">
        <v>7</v>
      </c>
      <c r="I32" s="8" t="n">
        <v>2</v>
      </c>
      <c r="J32" s="8" t="inlineStr">
        <is>
          <t>homophone</t>
        </is>
      </c>
      <c r="K32" s="8" t="n">
        <v>3</v>
      </c>
      <c r="L32" s="8" t="n">
        <v>6</v>
      </c>
      <c r="M32" s="8" t="n">
        <v>91</v>
      </c>
      <c r="N32" s="8" t="n">
        <v>28</v>
      </c>
      <c r="O32" s="9">
        <f>Model!$B$4+Model!$B$5*((B32-1)/4)+Model!$B$6*((D32-4)/4)+Model!$B$7*((E32-1)/5)+Model!$B$8*(F32)+Model!$B$9*((G32)/2)+Model!$B$10*((H32-3)/11)+Model!$B$11*(IF(J32="double-layer",1,IF(J32="homophone",0.66,IF(J32="idiom",0.33,0))))+Model!$B$12*((5-K32)/4)</f>
        <v/>
      </c>
      <c r="P32" s="8" t="inlineStr">
        <is>
          <t>relief</t>
        </is>
      </c>
      <c r="Q32" s="8" t="inlineStr">
        <is>
          <t>Relief: easier scramble after the spike (breather)</t>
        </is>
      </c>
    </row>
    <row r="33">
      <c r="A33" s="8" t="n">
        <v>32</v>
      </c>
      <c r="B33" s="8" t="n">
        <v>2</v>
      </c>
      <c r="C33" s="8" t="n">
        <v>4</v>
      </c>
      <c r="D33" s="8" t="n">
        <v>5</v>
      </c>
      <c r="E33" s="8" t="n">
        <v>4</v>
      </c>
      <c r="F33" s="9" t="n">
        <v>0.54</v>
      </c>
      <c r="G33" s="8" t="n">
        <v>1</v>
      </c>
      <c r="H33" s="8" t="n">
        <v>8</v>
      </c>
      <c r="I33" s="8" t="n">
        <v>2</v>
      </c>
      <c r="J33" s="8" t="inlineStr">
        <is>
          <t>homophone</t>
        </is>
      </c>
      <c r="K33" s="8" t="n">
        <v>3</v>
      </c>
      <c r="L33" s="8" t="n">
        <v>6</v>
      </c>
      <c r="M33" s="8" t="n">
        <v>95</v>
      </c>
      <c r="N33" s="8" t="n">
        <v>29</v>
      </c>
      <c r="O33" s="9">
        <f>Model!$B$4+Model!$B$5*((B33-1)/4)+Model!$B$6*((D33-4)/4)+Model!$B$7*((E33-1)/5)+Model!$B$8*(F33)+Model!$B$9*((G33)/2)+Model!$B$10*((H33-3)/11)+Model!$B$11*(IF(J33="double-layer",1,IF(J33="homophone",0.66,IF(J33="idiom",0.33,0))))+Model!$B$12*((5-K33)/4)</f>
        <v/>
      </c>
      <c r="P33" s="8" t="inlineStr">
        <is>
          <t>ramp</t>
        </is>
      </c>
      <c r="Q33" s="8" t="inlineStr"/>
    </row>
    <row r="34">
      <c r="A34" s="8" t="n">
        <v>33</v>
      </c>
      <c r="B34" s="8" t="n">
        <v>2</v>
      </c>
      <c r="C34" s="8" t="n">
        <v>4</v>
      </c>
      <c r="D34" s="8" t="n">
        <v>5</v>
      </c>
      <c r="E34" s="8" t="n">
        <v>4</v>
      </c>
      <c r="F34" s="9" t="n">
        <v>0.59</v>
      </c>
      <c r="G34" s="8" t="n">
        <v>1</v>
      </c>
      <c r="H34" s="8" t="n">
        <v>8</v>
      </c>
      <c r="I34" s="8" t="n">
        <v>2</v>
      </c>
      <c r="J34" s="8" t="inlineStr">
        <is>
          <t>homophone</t>
        </is>
      </c>
      <c r="K34" s="8" t="n">
        <v>3</v>
      </c>
      <c r="L34" s="8" t="n">
        <v>6</v>
      </c>
      <c r="M34" s="8" t="n">
        <v>98</v>
      </c>
      <c r="N34" s="8" t="n">
        <v>31</v>
      </c>
      <c r="O34" s="9">
        <f>Model!$B$4+Model!$B$5*((B34-1)/4)+Model!$B$6*((D34-4)/4)+Model!$B$7*((E34-1)/5)+Model!$B$8*(F34)+Model!$B$9*((G34)/2)+Model!$B$10*((H34-3)/11)+Model!$B$11*(IF(J34="double-layer",1,IF(J34="homophone",0.66,IF(J34="idiom",0.33,0))))+Model!$B$12*((5-K34)/4)</f>
        <v/>
      </c>
      <c r="P34" s="8" t="inlineStr">
        <is>
          <t>ramp</t>
        </is>
      </c>
      <c r="Q34" s="8" t="inlineStr"/>
    </row>
    <row r="35">
      <c r="A35" s="5" t="n">
        <v>34</v>
      </c>
      <c r="B35" s="6" t="n">
        <v>2</v>
      </c>
      <c r="C35" s="6" t="n">
        <v>4</v>
      </c>
      <c r="D35" s="6" t="n">
        <v>5</v>
      </c>
      <c r="E35" s="6" t="n">
        <v>4</v>
      </c>
      <c r="F35" s="7" t="n">
        <v>0.6</v>
      </c>
      <c r="G35" s="6" t="n">
        <v>1</v>
      </c>
      <c r="H35" s="6" t="n">
        <v>9</v>
      </c>
      <c r="I35" s="6" t="n">
        <v>2</v>
      </c>
      <c r="J35" s="6" t="inlineStr">
        <is>
          <t>homophone</t>
        </is>
      </c>
      <c r="K35" s="6" t="n">
        <v>3</v>
      </c>
      <c r="L35" s="6" t="n">
        <v>7</v>
      </c>
      <c r="M35" s="6" t="n">
        <v>100</v>
      </c>
      <c r="N35" s="6" t="n">
        <v>31</v>
      </c>
      <c r="O35" s="7">
        <f>Model!$B$4+Model!$B$5*((B35-1)/4)+Model!$B$6*((D35-4)/4)+Model!$B$7*((E35-1)/5)+Model!$B$8*(F35)+Model!$B$9*((G35)/2)+Model!$B$10*((H35-3)/11)+Model!$B$11*(IF(J35="double-layer",1,IF(J35="homophone",0.66,IF(J35="idiom",0.33,0))))+Model!$B$12*((5-K35)/4)</f>
        <v/>
      </c>
      <c r="P35" s="6" t="inlineStr">
        <is>
          <t>spike</t>
        </is>
      </c>
      <c r="Q35" s="6" t="inlineStr">
        <is>
          <t>ANCHOR (=prototype v34); pinned P1-P8</t>
        </is>
      </c>
    </row>
    <row r="36">
      <c r="A36" s="8" t="n">
        <v>35</v>
      </c>
      <c r="B36" s="8" t="n">
        <v>2</v>
      </c>
      <c r="C36" s="8" t="n">
        <v>4</v>
      </c>
      <c r="D36" s="8" t="n">
        <v>5</v>
      </c>
      <c r="E36" s="8" t="n">
        <v>4</v>
      </c>
      <c r="F36" s="9" t="n">
        <v>0.61</v>
      </c>
      <c r="G36" s="8" t="n">
        <v>1</v>
      </c>
      <c r="H36" s="8" t="n">
        <v>9</v>
      </c>
      <c r="I36" s="8" t="n">
        <v>2</v>
      </c>
      <c r="J36" s="8" t="inlineStr">
        <is>
          <t>homophone</t>
        </is>
      </c>
      <c r="K36" s="8" t="n">
        <v>3</v>
      </c>
      <c r="L36" s="8" t="n">
        <v>7</v>
      </c>
      <c r="M36" s="8" t="n">
        <v>100</v>
      </c>
      <c r="N36" s="8" t="n">
        <v>31</v>
      </c>
      <c r="O36" s="9">
        <f>Model!$B$4+Model!$B$5*((B36-1)/4)+Model!$B$6*((D36-4)/4)+Model!$B$7*((E36-1)/5)+Model!$B$8*(F36)+Model!$B$9*((G36)/2)+Model!$B$10*((H36-3)/11)+Model!$B$11*(IF(J36="double-layer",1,IF(J36="homophone",0.66,IF(J36="idiom",0.33,0))))+Model!$B$12*((5-K36)/4)</f>
        <v/>
      </c>
      <c r="P36" s="8" t="inlineStr">
        <is>
          <t>ramp</t>
        </is>
      </c>
      <c r="Q36" s="8" t="inlineStr"/>
    </row>
    <row r="37">
      <c r="A37" s="8" t="n">
        <v>36</v>
      </c>
      <c r="B37" s="8" t="n">
        <v>2</v>
      </c>
      <c r="C37" s="8" t="n">
        <v>4</v>
      </c>
      <c r="D37" s="8" t="n">
        <v>5</v>
      </c>
      <c r="E37" s="8" t="n">
        <v>4</v>
      </c>
      <c r="F37" s="9" t="n">
        <v>0.52</v>
      </c>
      <c r="G37" s="8" t="n">
        <v>1</v>
      </c>
      <c r="H37" s="8" t="n">
        <v>8</v>
      </c>
      <c r="I37" s="8" t="n">
        <v>2</v>
      </c>
      <c r="J37" s="8" t="inlineStr">
        <is>
          <t>homophone</t>
        </is>
      </c>
      <c r="K37" s="8" t="n">
        <v>3</v>
      </c>
      <c r="L37" s="8" t="n">
        <v>7</v>
      </c>
      <c r="M37" s="8" t="n">
        <v>93</v>
      </c>
      <c r="N37" s="8" t="n">
        <v>29</v>
      </c>
      <c r="O37" s="9">
        <f>Model!$B$4+Model!$B$5*((B37-1)/4)+Model!$B$6*((D37-4)/4)+Model!$B$7*((E37-1)/5)+Model!$B$8*(F37)+Model!$B$9*((G37)/2)+Model!$B$10*((H37-3)/11)+Model!$B$11*(IF(J37="double-layer",1,IF(J37="homophone",0.66,IF(J37="idiom",0.33,0))))+Model!$B$12*((5-K37)/4)</f>
        <v/>
      </c>
      <c r="P37" s="8" t="inlineStr">
        <is>
          <t>ramp</t>
        </is>
      </c>
      <c r="Q37" s="8" t="inlineStr"/>
    </row>
    <row r="38">
      <c r="A38" s="8" t="n">
        <v>37</v>
      </c>
      <c r="B38" s="8" t="n">
        <v>2</v>
      </c>
      <c r="C38" s="8" t="n">
        <v>4</v>
      </c>
      <c r="D38" s="8" t="n">
        <v>5</v>
      </c>
      <c r="E38" s="8" t="n">
        <v>4</v>
      </c>
      <c r="F38" s="9" t="n">
        <v>0.53</v>
      </c>
      <c r="G38" s="8" t="n">
        <v>1</v>
      </c>
      <c r="H38" s="8" t="n">
        <v>8</v>
      </c>
      <c r="I38" s="8" t="n">
        <v>2</v>
      </c>
      <c r="J38" s="8" t="inlineStr">
        <is>
          <t>homophone</t>
        </is>
      </c>
      <c r="K38" s="8" t="n">
        <v>3</v>
      </c>
      <c r="L38" s="8" t="n">
        <v>7</v>
      </c>
      <c r="M38" s="8" t="n">
        <v>94</v>
      </c>
      <c r="N38" s="8" t="n">
        <v>29</v>
      </c>
      <c r="O38" s="9">
        <f>Model!$B$4+Model!$B$5*((B38-1)/4)+Model!$B$6*((D38-4)/4)+Model!$B$7*((E38-1)/5)+Model!$B$8*(F38)+Model!$B$9*((G38)/2)+Model!$B$10*((H38-3)/11)+Model!$B$11*(IF(J38="double-layer",1,IF(J38="homophone",0.66,IF(J38="idiom",0.33,0))))+Model!$B$12*((5-K38)/4)</f>
        <v/>
      </c>
      <c r="P38" s="8" t="inlineStr">
        <is>
          <t>ramp</t>
        </is>
      </c>
      <c r="Q38" s="8" t="inlineStr"/>
    </row>
    <row r="39">
      <c r="A39" s="8" t="n">
        <v>38</v>
      </c>
      <c r="B39" s="8" t="n">
        <v>2</v>
      </c>
      <c r="C39" s="8" t="n">
        <v>4</v>
      </c>
      <c r="D39" s="8" t="n">
        <v>5</v>
      </c>
      <c r="E39" s="8" t="n">
        <v>4</v>
      </c>
      <c r="F39" s="9" t="n">
        <v>0.5</v>
      </c>
      <c r="G39" s="8" t="n">
        <v>1</v>
      </c>
      <c r="H39" s="8" t="n">
        <v>8</v>
      </c>
      <c r="I39" s="8" t="n">
        <v>2</v>
      </c>
      <c r="J39" s="8" t="inlineStr">
        <is>
          <t>homophone</t>
        </is>
      </c>
      <c r="K39" s="8" t="n">
        <v>3</v>
      </c>
      <c r="L39" s="8" t="n">
        <v>7</v>
      </c>
      <c r="M39" s="8" t="n">
        <v>92</v>
      </c>
      <c r="N39" s="8" t="n">
        <v>28</v>
      </c>
      <c r="O39" s="9">
        <f>Model!$B$4+Model!$B$5*((B39-1)/4)+Model!$B$6*((D39-4)/4)+Model!$B$7*((E39-1)/5)+Model!$B$8*(F39)+Model!$B$9*((G39)/2)+Model!$B$10*((H39-3)/11)+Model!$B$11*(IF(J39="double-layer",1,IF(J39="homophone",0.66,IF(J39="idiom",0.33,0))))+Model!$B$12*((5-K39)/4)</f>
        <v/>
      </c>
      <c r="P39" s="8" t="inlineStr">
        <is>
          <t>ramp</t>
        </is>
      </c>
      <c r="Q39" s="8" t="inlineStr"/>
    </row>
    <row r="40">
      <c r="A40" s="8" t="n">
        <v>39</v>
      </c>
      <c r="B40" s="8" t="n">
        <v>2</v>
      </c>
      <c r="C40" s="8" t="n">
        <v>4</v>
      </c>
      <c r="D40" s="8" t="n">
        <v>5</v>
      </c>
      <c r="E40" s="8" t="n">
        <v>4</v>
      </c>
      <c r="F40" s="9" t="n">
        <v>0.48</v>
      </c>
      <c r="G40" s="8" t="n">
        <v>1</v>
      </c>
      <c r="H40" s="8" t="n">
        <v>8</v>
      </c>
      <c r="I40" s="8" t="n">
        <v>2</v>
      </c>
      <c r="J40" s="8" t="inlineStr">
        <is>
          <t>homophone</t>
        </is>
      </c>
      <c r="K40" s="8" t="n">
        <v>3</v>
      </c>
      <c r="L40" s="8" t="n">
        <v>7</v>
      </c>
      <c r="M40" s="8" t="n">
        <v>91</v>
      </c>
      <c r="N40" s="8" t="n">
        <v>27</v>
      </c>
      <c r="O40" s="9">
        <f>Model!$B$4+Model!$B$5*((B40-1)/4)+Model!$B$6*((D40-4)/4)+Model!$B$7*((E40-1)/5)+Model!$B$8*(F40)+Model!$B$9*((G40)/2)+Model!$B$10*((H40-3)/11)+Model!$B$11*(IF(J40="double-layer",1,IF(J40="homophone",0.66,IF(J40="idiom",0.33,0))))+Model!$B$12*((5-K40)/4)</f>
        <v/>
      </c>
      <c r="P40" s="8" t="inlineStr">
        <is>
          <t>ramp</t>
        </is>
      </c>
      <c r="Q40" s="8" t="inlineStr"/>
    </row>
    <row r="41">
      <c r="A41" s="10" t="n">
        <v>40</v>
      </c>
      <c r="B41" s="8" t="n">
        <v>3</v>
      </c>
      <c r="C41" s="8" t="n">
        <v>4</v>
      </c>
      <c r="D41" s="8" t="n">
        <v>4</v>
      </c>
      <c r="E41" s="8" t="n">
        <v>3</v>
      </c>
      <c r="F41" s="9" t="n">
        <v>0.52</v>
      </c>
      <c r="G41" s="8" t="n">
        <v>0</v>
      </c>
      <c r="H41" s="8" t="n">
        <v>7</v>
      </c>
      <c r="I41" s="8" t="n">
        <v>2</v>
      </c>
      <c r="J41" s="8" t="inlineStr">
        <is>
          <t>homophone</t>
        </is>
      </c>
      <c r="K41" s="8" t="n">
        <v>4</v>
      </c>
      <c r="L41" s="8" t="n">
        <v>7</v>
      </c>
      <c r="M41" s="8" t="n">
        <v>103</v>
      </c>
      <c r="N41" s="8" t="n">
        <v>33</v>
      </c>
      <c r="O41" s="9">
        <f>Model!$B$4+Model!$B$5*((B41-1)/4)+Model!$B$6*((D41-4)/4)+Model!$B$7*((E41-1)/5)+Model!$B$8*(F41)+Model!$B$9*((G41)/2)+Model!$B$10*((H41-3)/11)+Model!$B$11*(IF(J41="double-layer",1,IF(J41="homophone",0.66,IF(J41="idiom",0.33,0))))+Model!$B$12*((5-K41)/4)</f>
        <v/>
      </c>
      <c r="P41" s="8" t="inlineStr">
        <is>
          <t>spike</t>
        </is>
      </c>
      <c r="Q41" s="8" t="inlineStr">
        <is>
          <t>SPIKE: 2-word homophone answers now routine; P6 pushes to 9-10</t>
        </is>
      </c>
    </row>
    <row r="42">
      <c r="A42" s="8" t="n">
        <v>41</v>
      </c>
      <c r="B42" s="8" t="n">
        <v>3</v>
      </c>
      <c r="C42" s="8" t="n">
        <v>4</v>
      </c>
      <c r="D42" s="8" t="n">
        <v>4</v>
      </c>
      <c r="E42" s="8" t="n">
        <v>3</v>
      </c>
      <c r="F42" s="9" t="n">
        <v>0.37</v>
      </c>
      <c r="G42" s="8" t="n">
        <v>0</v>
      </c>
      <c r="H42" s="8" t="n">
        <v>7</v>
      </c>
      <c r="I42" s="8" t="n">
        <v>2</v>
      </c>
      <c r="J42" s="8" t="inlineStr">
        <is>
          <t>homophone</t>
        </is>
      </c>
      <c r="K42" s="8" t="n">
        <v>4</v>
      </c>
      <c r="L42" s="8" t="n">
        <v>7</v>
      </c>
      <c r="M42" s="8" t="n">
        <v>93</v>
      </c>
      <c r="N42" s="8" t="n">
        <v>28</v>
      </c>
      <c r="O42" s="9">
        <f>Model!$B$4+Model!$B$5*((B42-1)/4)+Model!$B$6*((D42-4)/4)+Model!$B$7*((E42-1)/5)+Model!$B$8*(F42)+Model!$B$9*((G42)/2)+Model!$B$10*((H42-3)/11)+Model!$B$11*(IF(J42="double-layer",1,IF(J42="homophone",0.66,IF(J42="idiom",0.33,0))))+Model!$B$12*((5-K42)/4)</f>
        <v/>
      </c>
      <c r="P42" s="8" t="inlineStr">
        <is>
          <t>relief</t>
        </is>
      </c>
      <c r="Q42" s="8" t="inlineStr">
        <is>
          <t>Relief: easier scramble after the spike (breather)</t>
        </is>
      </c>
    </row>
    <row r="43">
      <c r="A43" s="8" t="n">
        <v>42</v>
      </c>
      <c r="B43" s="8" t="n">
        <v>3</v>
      </c>
      <c r="C43" s="8" t="n">
        <v>4</v>
      </c>
      <c r="D43" s="8" t="n">
        <v>4</v>
      </c>
      <c r="E43" s="8" t="n">
        <v>3</v>
      </c>
      <c r="F43" s="9" t="n">
        <v>0.37</v>
      </c>
      <c r="G43" s="8" t="n">
        <v>0</v>
      </c>
      <c r="H43" s="8" t="n">
        <v>7</v>
      </c>
      <c r="I43" s="8" t="n">
        <v>2</v>
      </c>
      <c r="J43" s="8" t="inlineStr">
        <is>
          <t>idiom</t>
        </is>
      </c>
      <c r="K43" s="8" t="n">
        <v>4</v>
      </c>
      <c r="L43" s="8" t="n">
        <v>7</v>
      </c>
      <c r="M43" s="8" t="n">
        <v>87</v>
      </c>
      <c r="N43" s="8" t="n">
        <v>26</v>
      </c>
      <c r="O43" s="9">
        <f>Model!$B$4+Model!$B$5*((B43-1)/4)+Model!$B$6*((D43-4)/4)+Model!$B$7*((E43-1)/5)+Model!$B$8*(F43)+Model!$B$9*((G43)/2)+Model!$B$10*((H43-3)/11)+Model!$B$11*(IF(J43="double-layer",1,IF(J43="homophone",0.66,IF(J43="idiom",0.33,0))))+Model!$B$12*((5-K43)/4)</f>
        <v/>
      </c>
      <c r="P43" s="8" t="inlineStr">
        <is>
          <t>ramp</t>
        </is>
      </c>
      <c r="Q43" s="8" t="inlineStr"/>
    </row>
    <row r="44">
      <c r="A44" s="8" t="n">
        <v>43</v>
      </c>
      <c r="B44" s="8" t="n">
        <v>3</v>
      </c>
      <c r="C44" s="8" t="n">
        <v>4</v>
      </c>
      <c r="D44" s="8" t="n">
        <v>4</v>
      </c>
      <c r="E44" s="8" t="n">
        <v>3</v>
      </c>
      <c r="F44" s="9" t="n">
        <v>0.38</v>
      </c>
      <c r="G44" s="8" t="n">
        <v>0</v>
      </c>
      <c r="H44" s="8" t="n">
        <v>7</v>
      </c>
      <c r="I44" s="8" t="n">
        <v>2</v>
      </c>
      <c r="J44" s="8" t="inlineStr">
        <is>
          <t>idiom</t>
        </is>
      </c>
      <c r="K44" s="8" t="n">
        <v>4</v>
      </c>
      <c r="L44" s="8" t="n">
        <v>7</v>
      </c>
      <c r="M44" s="8" t="n">
        <v>88</v>
      </c>
      <c r="N44" s="8" t="n">
        <v>26</v>
      </c>
      <c r="O44" s="9">
        <f>Model!$B$4+Model!$B$5*((B44-1)/4)+Model!$B$6*((D44-4)/4)+Model!$B$7*((E44-1)/5)+Model!$B$8*(F44)+Model!$B$9*((G44)/2)+Model!$B$10*((H44-3)/11)+Model!$B$11*(IF(J44="double-layer",1,IF(J44="homophone",0.66,IF(J44="idiom",0.33,0))))+Model!$B$12*((5-K44)/4)</f>
        <v/>
      </c>
      <c r="P44" s="8" t="inlineStr">
        <is>
          <t>ramp</t>
        </is>
      </c>
      <c r="Q44" s="8" t="inlineStr"/>
    </row>
    <row r="45">
      <c r="A45" s="8" t="n">
        <v>44</v>
      </c>
      <c r="B45" s="8" t="n">
        <v>3</v>
      </c>
      <c r="C45" s="8" t="n">
        <v>4</v>
      </c>
      <c r="D45" s="8" t="n">
        <v>4</v>
      </c>
      <c r="E45" s="8" t="n">
        <v>3</v>
      </c>
      <c r="F45" s="9" t="n">
        <v>0.38</v>
      </c>
      <c r="G45" s="8" t="n">
        <v>0</v>
      </c>
      <c r="H45" s="8" t="n">
        <v>6</v>
      </c>
      <c r="I45" s="8" t="n">
        <v>2</v>
      </c>
      <c r="J45" s="8" t="inlineStr">
        <is>
          <t>idiom</t>
        </is>
      </c>
      <c r="K45" s="8" t="n">
        <v>4</v>
      </c>
      <c r="L45" s="8" t="n">
        <v>7</v>
      </c>
      <c r="M45" s="8" t="n">
        <v>87</v>
      </c>
      <c r="N45" s="8" t="n">
        <v>26</v>
      </c>
      <c r="O45" s="9">
        <f>Model!$B$4+Model!$B$5*((B45-1)/4)+Model!$B$6*((D45-4)/4)+Model!$B$7*((E45-1)/5)+Model!$B$8*(F45)+Model!$B$9*((G45)/2)+Model!$B$10*((H45-3)/11)+Model!$B$11*(IF(J45="double-layer",1,IF(J45="homophone",0.66,IF(J45="idiom",0.33,0))))+Model!$B$12*((5-K45)/4)</f>
        <v/>
      </c>
      <c r="P45" s="8" t="inlineStr">
        <is>
          <t>ramp</t>
        </is>
      </c>
      <c r="Q45" s="8" t="inlineStr"/>
    </row>
    <row r="46">
      <c r="A46" s="6" t="n">
        <v>45</v>
      </c>
      <c r="B46" s="6" t="n">
        <v>3</v>
      </c>
      <c r="C46" s="6" t="n">
        <v>4</v>
      </c>
      <c r="D46" s="6" t="n">
        <v>4</v>
      </c>
      <c r="E46" s="6" t="n">
        <v>3</v>
      </c>
      <c r="F46" s="7" t="n">
        <v>0.33</v>
      </c>
      <c r="G46" s="6" t="n">
        <v>0</v>
      </c>
      <c r="H46" s="6" t="n">
        <v>6</v>
      </c>
      <c r="I46" s="6" t="n">
        <v>2</v>
      </c>
      <c r="J46" s="6" t="inlineStr">
        <is>
          <t>idiom</t>
        </is>
      </c>
      <c r="K46" s="6" t="n">
        <v>4</v>
      </c>
      <c r="L46" s="6" t="n">
        <v>7</v>
      </c>
      <c r="M46" s="6" t="n">
        <v>84</v>
      </c>
      <c r="N46" s="6" t="n">
        <v>25</v>
      </c>
      <c r="O46" s="7">
        <f>Model!$B$4+Model!$B$5*((B46-1)/4)+Model!$B$6*((D46-4)/4)+Model!$B$7*((E46-1)/5)+Model!$B$8*(F46)+Model!$B$9*((G46)/2)+Model!$B$10*((H46-3)/11)+Model!$B$11*(IF(J46="double-layer",1,IF(J46="homophone",0.66,IF(J46="idiom",0.33,0))))+Model!$B$12*((5-K46)/4)</f>
        <v/>
      </c>
      <c r="P46" s="6" t="inlineStr">
        <is>
          <t>relief</t>
        </is>
      </c>
      <c r="Q46" s="6" t="inlineStr">
        <is>
          <t>ANCHOR (=prototype v45); pinned P1-P8</t>
        </is>
      </c>
    </row>
    <row r="47">
      <c r="A47" s="8" t="n">
        <v>46</v>
      </c>
      <c r="B47" s="8" t="n">
        <v>3</v>
      </c>
      <c r="C47" s="8" t="n">
        <v>4</v>
      </c>
      <c r="D47" s="8" t="n">
        <v>4</v>
      </c>
      <c r="E47" s="8" t="n">
        <v>3</v>
      </c>
      <c r="F47" s="9" t="n">
        <v>0.32</v>
      </c>
      <c r="G47" s="8" t="n">
        <v>0</v>
      </c>
      <c r="H47" s="8" t="n">
        <v>6</v>
      </c>
      <c r="I47" s="8" t="n">
        <v>2</v>
      </c>
      <c r="J47" s="8" t="inlineStr">
        <is>
          <t>idiom</t>
        </is>
      </c>
      <c r="K47" s="8" t="n">
        <v>4</v>
      </c>
      <c r="L47" s="8" t="n">
        <v>7</v>
      </c>
      <c r="M47" s="8" t="n">
        <v>83</v>
      </c>
      <c r="N47" s="8" t="n">
        <v>24</v>
      </c>
      <c r="O47" s="9">
        <f>Model!$B$4+Model!$B$5*((B47-1)/4)+Model!$B$6*((D47-4)/4)+Model!$B$7*((E47-1)/5)+Model!$B$8*(F47)+Model!$B$9*((G47)/2)+Model!$B$10*((H47-3)/11)+Model!$B$11*(IF(J47="double-layer",1,IF(J47="homophone",0.66,IF(J47="idiom",0.33,0))))+Model!$B$12*((5-K47)/4)</f>
        <v/>
      </c>
      <c r="P47" s="8" t="inlineStr">
        <is>
          <t>ramp</t>
        </is>
      </c>
      <c r="Q47" s="8" t="inlineStr"/>
    </row>
    <row r="48">
      <c r="A48" s="8" t="n">
        <v>47</v>
      </c>
      <c r="B48" s="8" t="n">
        <v>3</v>
      </c>
      <c r="C48" s="8" t="n">
        <v>4</v>
      </c>
      <c r="D48" s="8" t="n">
        <v>4</v>
      </c>
      <c r="E48" s="8" t="n">
        <v>3</v>
      </c>
      <c r="F48" s="9" t="n">
        <v>0.36</v>
      </c>
      <c r="G48" s="8" t="n">
        <v>0</v>
      </c>
      <c r="H48" s="8" t="n">
        <v>7</v>
      </c>
      <c r="I48" s="8" t="n">
        <v>2</v>
      </c>
      <c r="J48" s="8" t="inlineStr">
        <is>
          <t>idiom</t>
        </is>
      </c>
      <c r="K48" s="8" t="n">
        <v>4</v>
      </c>
      <c r="L48" s="8" t="n">
        <v>7</v>
      </c>
      <c r="M48" s="8" t="n">
        <v>87</v>
      </c>
      <c r="N48" s="8" t="n">
        <v>26</v>
      </c>
      <c r="O48" s="9">
        <f>Model!$B$4+Model!$B$5*((B48-1)/4)+Model!$B$6*((D48-4)/4)+Model!$B$7*((E48-1)/5)+Model!$B$8*(F48)+Model!$B$9*((G48)/2)+Model!$B$10*((H48-3)/11)+Model!$B$11*(IF(J48="double-layer",1,IF(J48="homophone",0.66,IF(J48="idiom",0.33,0))))+Model!$B$12*((5-K48)/4)</f>
        <v/>
      </c>
      <c r="P48" s="8" t="inlineStr">
        <is>
          <t>ramp</t>
        </is>
      </c>
      <c r="Q48" s="8" t="inlineStr"/>
    </row>
    <row r="49">
      <c r="A49" s="8" t="n">
        <v>48</v>
      </c>
      <c r="B49" s="8" t="n">
        <v>3</v>
      </c>
      <c r="C49" s="8" t="n">
        <v>4</v>
      </c>
      <c r="D49" s="8" t="n">
        <v>4</v>
      </c>
      <c r="E49" s="8" t="n">
        <v>3</v>
      </c>
      <c r="F49" s="9" t="n">
        <v>0.38</v>
      </c>
      <c r="G49" s="8" t="n">
        <v>0</v>
      </c>
      <c r="H49" s="8" t="n">
        <v>7</v>
      </c>
      <c r="I49" s="8" t="n">
        <v>2</v>
      </c>
      <c r="J49" s="8" t="inlineStr">
        <is>
          <t>idiom</t>
        </is>
      </c>
      <c r="K49" s="8" t="n">
        <v>4</v>
      </c>
      <c r="L49" s="8" t="n">
        <v>7</v>
      </c>
      <c r="M49" s="8" t="n">
        <v>88</v>
      </c>
      <c r="N49" s="8" t="n">
        <v>26</v>
      </c>
      <c r="O49" s="9">
        <f>Model!$B$4+Model!$B$5*((B49-1)/4)+Model!$B$6*((D49-4)/4)+Model!$B$7*((E49-1)/5)+Model!$B$8*(F49)+Model!$B$9*((G49)/2)+Model!$B$10*((H49-3)/11)+Model!$B$11*(IF(J49="double-layer",1,IF(J49="homophone",0.66,IF(J49="idiom",0.33,0))))+Model!$B$12*((5-K49)/4)</f>
        <v/>
      </c>
      <c r="P49" s="8" t="inlineStr">
        <is>
          <t>ramp</t>
        </is>
      </c>
      <c r="Q49" s="8" t="inlineStr"/>
    </row>
    <row r="50">
      <c r="A50" s="8" t="n">
        <v>49</v>
      </c>
      <c r="B50" s="8" t="n">
        <v>3</v>
      </c>
      <c r="C50" s="8" t="n">
        <v>4</v>
      </c>
      <c r="D50" s="8" t="n">
        <v>5</v>
      </c>
      <c r="E50" s="8" t="n">
        <v>4</v>
      </c>
      <c r="F50" s="9" t="n">
        <v>0.4</v>
      </c>
      <c r="G50" s="8" t="n">
        <v>0</v>
      </c>
      <c r="H50" s="8" t="n">
        <v>8</v>
      </c>
      <c r="I50" s="8" t="n">
        <v>2</v>
      </c>
      <c r="J50" s="8" t="inlineStr">
        <is>
          <t>idiom</t>
        </is>
      </c>
      <c r="K50" s="8" t="n">
        <v>4</v>
      </c>
      <c r="L50" s="8" t="n">
        <v>7</v>
      </c>
      <c r="M50" s="8" t="n">
        <v>97</v>
      </c>
      <c r="N50" s="8" t="n">
        <v>30</v>
      </c>
      <c r="O50" s="9">
        <f>Model!$B$4+Model!$B$5*((B50-1)/4)+Model!$B$6*((D50-4)/4)+Model!$B$7*((E50-1)/5)+Model!$B$8*(F50)+Model!$B$9*((G50)/2)+Model!$B$10*((H50-3)/11)+Model!$B$11*(IF(J50="double-layer",1,IF(J50="homophone",0.66,IF(J50="idiom",0.33,0))))+Model!$B$12*((5-K50)/4)</f>
        <v/>
      </c>
      <c r="P50" s="8" t="inlineStr">
        <is>
          <t>ramp</t>
        </is>
      </c>
      <c r="Q50" s="8" t="inlineStr"/>
    </row>
    <row r="51">
      <c r="A51" s="10" t="n">
        <v>50</v>
      </c>
      <c r="B51" s="8" t="n">
        <v>3</v>
      </c>
      <c r="C51" s="8" t="n">
        <v>4</v>
      </c>
      <c r="D51" s="8" t="n">
        <v>5</v>
      </c>
      <c r="E51" s="8" t="n">
        <v>4</v>
      </c>
      <c r="F51" s="9" t="n">
        <v>0.49</v>
      </c>
      <c r="G51" s="8" t="n">
        <v>0</v>
      </c>
      <c r="H51" s="8" t="n">
        <v>9</v>
      </c>
      <c r="I51" s="8" t="n">
        <v>2</v>
      </c>
      <c r="J51" s="8" t="inlineStr">
        <is>
          <t>idiom</t>
        </is>
      </c>
      <c r="K51" s="8" t="n">
        <v>4</v>
      </c>
      <c r="L51" s="8" t="n">
        <v>7</v>
      </c>
      <c r="M51" s="8" t="n">
        <v>104</v>
      </c>
      <c r="N51" s="8" t="n">
        <v>33</v>
      </c>
      <c r="O51" s="9">
        <f>Model!$B$4+Model!$B$5*((B51-1)/4)+Model!$B$6*((D51-4)/4)+Model!$B$7*((E51-1)/5)+Model!$B$8*(F51)+Model!$B$9*((G51)/2)+Model!$B$10*((H51-3)/11)+Model!$B$11*(IF(J51="double-layer",1,IF(J51="homophone",0.66,IF(J51="idiom",0.33,0))))+Model!$B$12*((5-K51)/4)</f>
        <v/>
      </c>
      <c r="P51" s="8" t="inlineStr">
        <is>
          <t>spike</t>
        </is>
      </c>
      <c r="Q51" s="8" t="inlineStr">
        <is>
          <t>SPIKE: idiom puns enter rotation; longer words (P2=6)</t>
        </is>
      </c>
    </row>
    <row r="52">
      <c r="A52" s="8" t="n">
        <v>51</v>
      </c>
      <c r="B52" s="8" t="n">
        <v>3</v>
      </c>
      <c r="C52" s="8" t="n">
        <v>4</v>
      </c>
      <c r="D52" s="8" t="n">
        <v>5</v>
      </c>
      <c r="E52" s="8" t="n">
        <v>4</v>
      </c>
      <c r="F52" s="9" t="n">
        <v>0.37</v>
      </c>
      <c r="G52" s="8" t="n">
        <v>0</v>
      </c>
      <c r="H52" s="8" t="n">
        <v>9</v>
      </c>
      <c r="I52" s="8" t="n">
        <v>2</v>
      </c>
      <c r="J52" s="8" t="inlineStr">
        <is>
          <t>idiom</t>
        </is>
      </c>
      <c r="K52" s="8" t="n">
        <v>4</v>
      </c>
      <c r="L52" s="8" t="n">
        <v>8</v>
      </c>
      <c r="M52" s="8" t="n">
        <v>96</v>
      </c>
      <c r="N52" s="8" t="n">
        <v>30</v>
      </c>
      <c r="O52" s="9">
        <f>Model!$B$4+Model!$B$5*((B52-1)/4)+Model!$B$6*((D52-4)/4)+Model!$B$7*((E52-1)/5)+Model!$B$8*(F52)+Model!$B$9*((G52)/2)+Model!$B$10*((H52-3)/11)+Model!$B$11*(IF(J52="double-layer",1,IF(J52="homophone",0.66,IF(J52="idiom",0.33,0))))+Model!$B$12*((5-K52)/4)</f>
        <v/>
      </c>
      <c r="P52" s="8" t="inlineStr">
        <is>
          <t>relief</t>
        </is>
      </c>
      <c r="Q52" s="8" t="inlineStr">
        <is>
          <t>Relief: easier scramble after the spike (breather)</t>
        </is>
      </c>
    </row>
    <row r="53">
      <c r="A53" s="8" t="n">
        <v>52</v>
      </c>
      <c r="B53" s="8" t="n">
        <v>3</v>
      </c>
      <c r="C53" s="8" t="n">
        <v>4</v>
      </c>
      <c r="D53" s="8" t="n">
        <v>5</v>
      </c>
      <c r="E53" s="8" t="n">
        <v>4</v>
      </c>
      <c r="F53" s="9" t="n">
        <v>0.42</v>
      </c>
      <c r="G53" s="8" t="n">
        <v>0</v>
      </c>
      <c r="H53" s="8" t="n">
        <v>10</v>
      </c>
      <c r="I53" s="8" t="n">
        <v>2</v>
      </c>
      <c r="J53" s="8" t="inlineStr">
        <is>
          <t>idiom</t>
        </is>
      </c>
      <c r="K53" s="8" t="n">
        <v>4</v>
      </c>
      <c r="L53" s="8" t="n">
        <v>8</v>
      </c>
      <c r="M53" s="8" t="n">
        <v>101</v>
      </c>
      <c r="N53" s="8" t="n">
        <v>32</v>
      </c>
      <c r="O53" s="9">
        <f>Model!$B$4+Model!$B$5*((B53-1)/4)+Model!$B$6*((D53-4)/4)+Model!$B$7*((E53-1)/5)+Model!$B$8*(F53)+Model!$B$9*((G53)/2)+Model!$B$10*((H53-3)/11)+Model!$B$11*(IF(J53="double-layer",1,IF(J53="homophone",0.66,IF(J53="idiom",0.33,0))))+Model!$B$12*((5-K53)/4)</f>
        <v/>
      </c>
      <c r="P53" s="8" t="inlineStr">
        <is>
          <t>ramp</t>
        </is>
      </c>
      <c r="Q53" s="8" t="inlineStr"/>
    </row>
    <row r="54">
      <c r="A54" s="8" t="n">
        <v>53</v>
      </c>
      <c r="B54" s="8" t="n">
        <v>3</v>
      </c>
      <c r="C54" s="8" t="n">
        <v>4</v>
      </c>
      <c r="D54" s="8" t="n">
        <v>5</v>
      </c>
      <c r="E54" s="8" t="n">
        <v>4</v>
      </c>
      <c r="F54" s="9" t="n">
        <v>0.47</v>
      </c>
      <c r="G54" s="8" t="n">
        <v>1</v>
      </c>
      <c r="H54" s="8" t="n">
        <v>10</v>
      </c>
      <c r="I54" s="8" t="n">
        <v>2</v>
      </c>
      <c r="J54" s="8" t="inlineStr">
        <is>
          <t>homophone</t>
        </is>
      </c>
      <c r="K54" s="8" t="n">
        <v>3</v>
      </c>
      <c r="L54" s="8" t="n">
        <v>8</v>
      </c>
      <c r="M54" s="8" t="n">
        <v>116</v>
      </c>
      <c r="N54" s="8" t="n">
        <v>38</v>
      </c>
      <c r="O54" s="9">
        <f>Model!$B$4+Model!$B$5*((B54-1)/4)+Model!$B$6*((D54-4)/4)+Model!$B$7*((E54-1)/5)+Model!$B$8*(F54)+Model!$B$9*((G54)/2)+Model!$B$10*((H54-3)/11)+Model!$B$11*(IF(J54="double-layer",1,IF(J54="homophone",0.66,IF(J54="idiom",0.33,0))))+Model!$B$12*((5-K54)/4)</f>
        <v/>
      </c>
      <c r="P54" s="8" t="inlineStr">
        <is>
          <t>ramp</t>
        </is>
      </c>
      <c r="Q54" s="8" t="inlineStr"/>
    </row>
    <row r="55">
      <c r="A55" s="8" t="n">
        <v>54</v>
      </c>
      <c r="B55" s="8" t="n">
        <v>3</v>
      </c>
      <c r="C55" s="8" t="n">
        <v>4</v>
      </c>
      <c r="D55" s="8" t="n">
        <v>5</v>
      </c>
      <c r="E55" s="8" t="n">
        <v>4</v>
      </c>
      <c r="F55" s="9" t="n">
        <v>0.52</v>
      </c>
      <c r="G55" s="8" t="n">
        <v>1</v>
      </c>
      <c r="H55" s="8" t="n">
        <v>11</v>
      </c>
      <c r="I55" s="8" t="n">
        <v>2</v>
      </c>
      <c r="J55" s="8" t="inlineStr">
        <is>
          <t>homophone</t>
        </is>
      </c>
      <c r="K55" s="8" t="n">
        <v>3</v>
      </c>
      <c r="L55" s="8" t="n">
        <v>8</v>
      </c>
      <c r="M55" s="8" t="n">
        <v>120</v>
      </c>
      <c r="N55" s="8" t="n">
        <v>40</v>
      </c>
      <c r="O55" s="9">
        <f>Model!$B$4+Model!$B$5*((B55-1)/4)+Model!$B$6*((D55-4)/4)+Model!$B$7*((E55-1)/5)+Model!$B$8*(F55)+Model!$B$9*((G55)/2)+Model!$B$10*((H55-3)/11)+Model!$B$11*(IF(J55="double-layer",1,IF(J55="homophone",0.66,IF(J55="idiom",0.33,0))))+Model!$B$12*((5-K55)/4)</f>
        <v/>
      </c>
      <c r="P55" s="8" t="inlineStr">
        <is>
          <t>ramp</t>
        </is>
      </c>
      <c r="Q55" s="8" t="inlineStr"/>
    </row>
    <row r="56">
      <c r="A56" s="8" t="n">
        <v>55</v>
      </c>
      <c r="B56" s="8" t="n">
        <v>3</v>
      </c>
      <c r="C56" s="8" t="n">
        <v>4</v>
      </c>
      <c r="D56" s="8" t="n">
        <v>6</v>
      </c>
      <c r="E56" s="8" t="n">
        <v>4</v>
      </c>
      <c r="F56" s="9" t="n">
        <v>0.53</v>
      </c>
      <c r="G56" s="8" t="n">
        <v>1</v>
      </c>
      <c r="H56" s="8" t="n">
        <v>11</v>
      </c>
      <c r="I56" s="8" t="n">
        <v>2</v>
      </c>
      <c r="J56" s="8" t="inlineStr">
        <is>
          <t>homophone</t>
        </is>
      </c>
      <c r="K56" s="8" t="n">
        <v>3</v>
      </c>
      <c r="L56" s="8" t="n">
        <v>8</v>
      </c>
      <c r="M56" s="8" t="n">
        <v>127</v>
      </c>
      <c r="N56" s="8" t="n">
        <v>43</v>
      </c>
      <c r="O56" s="9">
        <f>Model!$B$4+Model!$B$5*((B56-1)/4)+Model!$B$6*((D56-4)/4)+Model!$B$7*((E56-1)/5)+Model!$B$8*(F56)+Model!$B$9*((G56)/2)+Model!$B$10*((H56-3)/11)+Model!$B$11*(IF(J56="double-layer",1,IF(J56="homophone",0.66,IF(J56="idiom",0.33,0))))+Model!$B$12*((5-K56)/4)</f>
        <v/>
      </c>
      <c r="P56" s="8" t="inlineStr">
        <is>
          <t>ramp</t>
        </is>
      </c>
      <c r="Q56" s="8" t="inlineStr"/>
    </row>
    <row r="57">
      <c r="A57" s="6" t="n">
        <v>56</v>
      </c>
      <c r="B57" s="6" t="n">
        <v>3</v>
      </c>
      <c r="C57" s="6" t="n">
        <v>4</v>
      </c>
      <c r="D57" s="6" t="n">
        <v>6</v>
      </c>
      <c r="E57" s="6" t="n">
        <v>4</v>
      </c>
      <c r="F57" s="7" t="n">
        <v>0.52</v>
      </c>
      <c r="G57" s="6" t="n">
        <v>1</v>
      </c>
      <c r="H57" s="6" t="n">
        <v>12</v>
      </c>
      <c r="I57" s="6" t="n">
        <v>2</v>
      </c>
      <c r="J57" s="6" t="inlineStr">
        <is>
          <t>homophone</t>
        </is>
      </c>
      <c r="K57" s="6" t="n">
        <v>3</v>
      </c>
      <c r="L57" s="6" t="n">
        <v>8</v>
      </c>
      <c r="M57" s="6" t="n">
        <v>128</v>
      </c>
      <c r="N57" s="6" t="n">
        <v>43</v>
      </c>
      <c r="O57" s="7">
        <f>Model!$B$4+Model!$B$5*((B57-1)/4)+Model!$B$6*((D57-4)/4)+Model!$B$7*((E57-1)/5)+Model!$B$8*(F57)+Model!$B$9*((G57)/2)+Model!$B$10*((H57-3)/11)+Model!$B$11*(IF(J57="double-layer",1,IF(J57="homophone",0.66,IF(J57="idiom",0.33,0))))+Model!$B$12*((5-K57)/4)</f>
        <v/>
      </c>
      <c r="P57" s="6" t="inlineStr">
        <is>
          <t>ramp</t>
        </is>
      </c>
      <c r="Q57" s="6" t="inlineStr">
        <is>
          <t>ANCHOR (=prototype v56); pinned P1-P8</t>
        </is>
      </c>
    </row>
    <row r="58">
      <c r="A58" s="8" t="n">
        <v>57</v>
      </c>
      <c r="B58" s="8" t="n">
        <v>3</v>
      </c>
      <c r="C58" s="8" t="n">
        <v>4</v>
      </c>
      <c r="D58" s="8" t="n">
        <v>6</v>
      </c>
      <c r="E58" s="8" t="n">
        <v>4</v>
      </c>
      <c r="F58" s="9" t="n">
        <v>0.52</v>
      </c>
      <c r="G58" s="8" t="n">
        <v>1</v>
      </c>
      <c r="H58" s="8" t="n">
        <v>11</v>
      </c>
      <c r="I58" s="8" t="n">
        <v>2</v>
      </c>
      <c r="J58" s="8" t="inlineStr">
        <is>
          <t>homophone</t>
        </is>
      </c>
      <c r="K58" s="8" t="n">
        <v>3</v>
      </c>
      <c r="L58" s="8" t="n">
        <v>8</v>
      </c>
      <c r="M58" s="8" t="n">
        <v>127</v>
      </c>
      <c r="N58" s="8" t="n">
        <v>42</v>
      </c>
      <c r="O58" s="9">
        <f>Model!$B$4+Model!$B$5*((B58-1)/4)+Model!$B$6*((D58-4)/4)+Model!$B$7*((E58-1)/5)+Model!$B$8*(F58)+Model!$B$9*((G58)/2)+Model!$B$10*((H58-3)/11)+Model!$B$11*(IF(J58="double-layer",1,IF(J58="homophone",0.66,IF(J58="idiom",0.33,0))))+Model!$B$12*((5-K58)/4)</f>
        <v/>
      </c>
      <c r="P58" s="8" t="inlineStr">
        <is>
          <t>ramp</t>
        </is>
      </c>
      <c r="Q58" s="8" t="inlineStr"/>
    </row>
    <row r="59">
      <c r="A59" s="8" t="n">
        <v>58</v>
      </c>
      <c r="B59" s="8" t="n">
        <v>3</v>
      </c>
      <c r="C59" s="8" t="n">
        <v>4</v>
      </c>
      <c r="D59" s="8" t="n">
        <v>6</v>
      </c>
      <c r="E59" s="8" t="n">
        <v>4</v>
      </c>
      <c r="F59" s="9" t="n">
        <v>0.52</v>
      </c>
      <c r="G59" s="8" t="n">
        <v>1</v>
      </c>
      <c r="H59" s="8" t="n">
        <v>11</v>
      </c>
      <c r="I59" s="8" t="n">
        <v>2</v>
      </c>
      <c r="J59" s="8" t="inlineStr">
        <is>
          <t>homophone</t>
        </is>
      </c>
      <c r="K59" s="8" t="n">
        <v>3</v>
      </c>
      <c r="L59" s="8" t="n">
        <v>8</v>
      </c>
      <c r="M59" s="8" t="n">
        <v>127</v>
      </c>
      <c r="N59" s="8" t="n">
        <v>42</v>
      </c>
      <c r="O59" s="9">
        <f>Model!$B$4+Model!$B$5*((B59-1)/4)+Model!$B$6*((D59-4)/4)+Model!$B$7*((E59-1)/5)+Model!$B$8*(F59)+Model!$B$9*((G59)/2)+Model!$B$10*((H59-3)/11)+Model!$B$11*(IF(J59="double-layer",1,IF(J59="homophone",0.66,IF(J59="idiom",0.33,0))))+Model!$B$12*((5-K59)/4)</f>
        <v/>
      </c>
      <c r="P59" s="8" t="inlineStr">
        <is>
          <t>ramp</t>
        </is>
      </c>
      <c r="Q59" s="8" t="inlineStr"/>
    </row>
    <row r="60">
      <c r="A60" s="8" t="n">
        <v>59</v>
      </c>
      <c r="B60" s="8" t="n">
        <v>3</v>
      </c>
      <c r="C60" s="8" t="n">
        <v>4</v>
      </c>
      <c r="D60" s="8" t="n">
        <v>6</v>
      </c>
      <c r="E60" s="8" t="n">
        <v>4</v>
      </c>
      <c r="F60" s="9" t="n">
        <v>0.51</v>
      </c>
      <c r="G60" s="8" t="n">
        <v>1</v>
      </c>
      <c r="H60" s="8" t="n">
        <v>11</v>
      </c>
      <c r="I60" s="8" t="n">
        <v>2</v>
      </c>
      <c r="J60" s="8" t="inlineStr">
        <is>
          <t>homophone</t>
        </is>
      </c>
      <c r="K60" s="8" t="n">
        <v>3</v>
      </c>
      <c r="L60" s="8" t="n">
        <v>8</v>
      </c>
      <c r="M60" s="8" t="n">
        <v>126</v>
      </c>
      <c r="N60" s="8" t="n">
        <v>42</v>
      </c>
      <c r="O60" s="9">
        <f>Model!$B$4+Model!$B$5*((B60-1)/4)+Model!$B$6*((D60-4)/4)+Model!$B$7*((E60-1)/5)+Model!$B$8*(F60)+Model!$B$9*((G60)/2)+Model!$B$10*((H60-3)/11)+Model!$B$11*(IF(J60="double-layer",1,IF(J60="homophone",0.66,IF(J60="idiom",0.33,0))))+Model!$B$12*((5-K60)/4)</f>
        <v/>
      </c>
      <c r="P60" s="8" t="inlineStr">
        <is>
          <t>ramp</t>
        </is>
      </c>
      <c r="Q60" s="8" t="inlineStr"/>
    </row>
    <row r="61">
      <c r="A61" s="10" t="n">
        <v>60</v>
      </c>
      <c r="B61" s="8" t="n">
        <v>3</v>
      </c>
      <c r="C61" s="8" t="n">
        <v>4</v>
      </c>
      <c r="D61" s="8" t="n">
        <v>5</v>
      </c>
      <c r="E61" s="8" t="n">
        <v>5</v>
      </c>
      <c r="F61" s="9" t="n">
        <v>0.58</v>
      </c>
      <c r="G61" s="8" t="n">
        <v>1</v>
      </c>
      <c r="H61" s="8" t="n">
        <v>10</v>
      </c>
      <c r="I61" s="8" t="n">
        <v>2</v>
      </c>
      <c r="J61" s="8" t="inlineStr">
        <is>
          <t>homophone</t>
        </is>
      </c>
      <c r="K61" s="8" t="n">
        <v>3</v>
      </c>
      <c r="L61" s="8" t="n">
        <v>8</v>
      </c>
      <c r="M61" s="8" t="n">
        <v>124</v>
      </c>
      <c r="N61" s="8" t="n">
        <v>41</v>
      </c>
      <c r="O61" s="9">
        <f>Model!$B$4+Model!$B$5*((B61-1)/4)+Model!$B$6*((D61-4)/4)+Model!$B$7*((E61-1)/5)+Model!$B$8*(F61)+Model!$B$9*((G61)/2)+Model!$B$10*((H61-3)/11)+Model!$B$11*(IF(J61="double-layer",1,IF(J61="homophone",0.66,IF(J61="idiom",0.33,0))))+Model!$B$12*((5-K61)/4)</f>
        <v/>
      </c>
      <c r="P61" s="8" t="inlineStr">
        <is>
          <t>spike</t>
        </is>
      </c>
      <c r="Q61" s="8" t="inlineStr">
        <is>
          <t>SPIKE: sustained trap anagrams; homophones at 12-letter answers</t>
        </is>
      </c>
    </row>
    <row r="62">
      <c r="A62" s="8" t="n">
        <v>61</v>
      </c>
      <c r="B62" s="8" t="n">
        <v>3</v>
      </c>
      <c r="C62" s="8" t="n">
        <v>4</v>
      </c>
      <c r="D62" s="8" t="n">
        <v>5</v>
      </c>
      <c r="E62" s="8" t="n">
        <v>5</v>
      </c>
      <c r="F62" s="9" t="n">
        <v>0.45</v>
      </c>
      <c r="G62" s="8" t="n">
        <v>1</v>
      </c>
      <c r="H62" s="8" t="n">
        <v>10</v>
      </c>
      <c r="I62" s="8" t="n">
        <v>2</v>
      </c>
      <c r="J62" s="8" t="inlineStr">
        <is>
          <t>homophone</t>
        </is>
      </c>
      <c r="K62" s="8" t="n">
        <v>3</v>
      </c>
      <c r="L62" s="8" t="n">
        <v>8</v>
      </c>
      <c r="M62" s="8" t="n">
        <v>115</v>
      </c>
      <c r="N62" s="8" t="n">
        <v>37</v>
      </c>
      <c r="O62" s="9">
        <f>Model!$B$4+Model!$B$5*((B62-1)/4)+Model!$B$6*((D62-4)/4)+Model!$B$7*((E62-1)/5)+Model!$B$8*(F62)+Model!$B$9*((G62)/2)+Model!$B$10*((H62-3)/11)+Model!$B$11*(IF(J62="double-layer",1,IF(J62="homophone",0.66,IF(J62="idiom",0.33,0))))+Model!$B$12*((5-K62)/4)</f>
        <v/>
      </c>
      <c r="P62" s="8" t="inlineStr">
        <is>
          <t>relief</t>
        </is>
      </c>
      <c r="Q62" s="8" t="inlineStr">
        <is>
          <t>Relief: easier scramble after the spike (breather)</t>
        </is>
      </c>
    </row>
    <row r="63">
      <c r="A63" s="8" t="n">
        <v>62</v>
      </c>
      <c r="B63" s="8" t="n">
        <v>4</v>
      </c>
      <c r="C63" s="8" t="n">
        <v>4</v>
      </c>
      <c r="D63" s="8" t="n">
        <v>5</v>
      </c>
      <c r="E63" s="8" t="n">
        <v>5</v>
      </c>
      <c r="F63" s="9" t="n">
        <v>0.48</v>
      </c>
      <c r="G63" s="8" t="n">
        <v>1</v>
      </c>
      <c r="H63" s="8" t="n">
        <v>10</v>
      </c>
      <c r="I63" s="8" t="n">
        <v>2</v>
      </c>
      <c r="J63" s="8" t="inlineStr">
        <is>
          <t>homophone</t>
        </is>
      </c>
      <c r="K63" s="8" t="n">
        <v>3</v>
      </c>
      <c r="L63" s="8" t="n">
        <v>8</v>
      </c>
      <c r="M63" s="8" t="n">
        <v>141</v>
      </c>
      <c r="N63" s="8" t="n">
        <v>48</v>
      </c>
      <c r="O63" s="9">
        <f>Model!$B$4+Model!$B$5*((B63-1)/4)+Model!$B$6*((D63-4)/4)+Model!$B$7*((E63-1)/5)+Model!$B$8*(F63)+Model!$B$9*((G63)/2)+Model!$B$10*((H63-3)/11)+Model!$B$11*(IF(J63="double-layer",1,IF(J63="homophone",0.66,IF(J63="idiom",0.33,0))))+Model!$B$12*((5-K63)/4)</f>
        <v/>
      </c>
      <c r="P63" s="8" t="inlineStr">
        <is>
          <t>ramp</t>
        </is>
      </c>
      <c r="Q63" s="8" t="inlineStr"/>
    </row>
    <row r="64">
      <c r="A64" s="8" t="n">
        <v>63</v>
      </c>
      <c r="B64" s="8" t="n">
        <v>4</v>
      </c>
      <c r="C64" s="8" t="n">
        <v>4</v>
      </c>
      <c r="D64" s="8" t="n">
        <v>5</v>
      </c>
      <c r="E64" s="8" t="n">
        <v>5</v>
      </c>
      <c r="F64" s="9" t="n">
        <v>0.51</v>
      </c>
      <c r="G64" s="8" t="n">
        <v>1</v>
      </c>
      <c r="H64" s="8" t="n">
        <v>9</v>
      </c>
      <c r="I64" s="8" t="n">
        <v>2</v>
      </c>
      <c r="J64" s="8" t="inlineStr">
        <is>
          <t>homophone</t>
        </is>
      </c>
      <c r="K64" s="8" t="n">
        <v>3</v>
      </c>
      <c r="L64" s="8" t="n">
        <v>8</v>
      </c>
      <c r="M64" s="8" t="n">
        <v>142</v>
      </c>
      <c r="N64" s="8" t="n">
        <v>49</v>
      </c>
      <c r="O64" s="9">
        <f>Model!$B$4+Model!$B$5*((B64-1)/4)+Model!$B$6*((D64-4)/4)+Model!$B$7*((E64-1)/5)+Model!$B$8*(F64)+Model!$B$9*((G64)/2)+Model!$B$10*((H64-3)/11)+Model!$B$11*(IF(J64="double-layer",1,IF(J64="homophone",0.66,IF(J64="idiom",0.33,0))))+Model!$B$12*((5-K64)/4)</f>
        <v/>
      </c>
      <c r="P64" s="8" t="inlineStr">
        <is>
          <t>ramp</t>
        </is>
      </c>
      <c r="Q64" s="8" t="inlineStr"/>
    </row>
    <row r="65">
      <c r="A65" s="8" t="n">
        <v>64</v>
      </c>
      <c r="B65" s="8" t="n">
        <v>4</v>
      </c>
      <c r="C65" s="8" t="n">
        <v>4</v>
      </c>
      <c r="D65" s="8" t="n">
        <v>5</v>
      </c>
      <c r="E65" s="8" t="n">
        <v>5</v>
      </c>
      <c r="F65" s="9" t="n">
        <v>0.54</v>
      </c>
      <c r="G65" s="8" t="n">
        <v>1</v>
      </c>
      <c r="H65" s="8" t="n">
        <v>9</v>
      </c>
      <c r="I65" s="8" t="n">
        <v>2</v>
      </c>
      <c r="J65" s="8" t="inlineStr">
        <is>
          <t>double-layer</t>
        </is>
      </c>
      <c r="K65" s="8" t="n">
        <v>2</v>
      </c>
      <c r="L65" s="8" t="n">
        <v>8</v>
      </c>
      <c r="M65" s="8" t="n">
        <v>151</v>
      </c>
      <c r="N65" s="8" t="n">
        <v>52</v>
      </c>
      <c r="O65" s="9">
        <f>Model!$B$4+Model!$B$5*((B65-1)/4)+Model!$B$6*((D65-4)/4)+Model!$B$7*((E65-1)/5)+Model!$B$8*(F65)+Model!$B$9*((G65)/2)+Model!$B$10*((H65-3)/11)+Model!$B$11*(IF(J65="double-layer",1,IF(J65="homophone",0.66,IF(J65="idiom",0.33,0))))+Model!$B$12*((5-K65)/4)</f>
        <v/>
      </c>
      <c r="P65" s="8" t="inlineStr">
        <is>
          <t>ramp</t>
        </is>
      </c>
      <c r="Q65" s="8" t="inlineStr"/>
    </row>
    <row r="66">
      <c r="A66" s="8" t="n">
        <v>65</v>
      </c>
      <c r="B66" s="8" t="n">
        <v>4</v>
      </c>
      <c r="C66" s="8" t="n">
        <v>4</v>
      </c>
      <c r="D66" s="8" t="n">
        <v>5</v>
      </c>
      <c r="E66" s="8" t="n">
        <v>5</v>
      </c>
      <c r="F66" s="9" t="n">
        <v>0.53</v>
      </c>
      <c r="G66" s="8" t="n">
        <v>1</v>
      </c>
      <c r="H66" s="8" t="n">
        <v>9</v>
      </c>
      <c r="I66" s="8" t="n">
        <v>2</v>
      </c>
      <c r="J66" s="8" t="inlineStr">
        <is>
          <t>double-layer</t>
        </is>
      </c>
      <c r="K66" s="8" t="n">
        <v>2</v>
      </c>
      <c r="L66" s="8" t="n">
        <v>8</v>
      </c>
      <c r="M66" s="8" t="n">
        <v>150</v>
      </c>
      <c r="N66" s="8" t="n">
        <v>52</v>
      </c>
      <c r="O66" s="9">
        <f>Model!$B$4+Model!$B$5*((B66-1)/4)+Model!$B$6*((D66-4)/4)+Model!$B$7*((E66-1)/5)+Model!$B$8*(F66)+Model!$B$9*((G66)/2)+Model!$B$10*((H66-3)/11)+Model!$B$11*(IF(J66="double-layer",1,IF(J66="homophone",0.66,IF(J66="idiom",0.33,0))))+Model!$B$12*((5-K66)/4)</f>
        <v/>
      </c>
      <c r="P66" s="8" t="inlineStr">
        <is>
          <t>ramp</t>
        </is>
      </c>
      <c r="Q66" s="8" t="inlineStr"/>
    </row>
    <row r="67">
      <c r="A67" s="8" t="n">
        <v>66</v>
      </c>
      <c r="B67" s="8" t="n">
        <v>4</v>
      </c>
      <c r="C67" s="8" t="n">
        <v>4</v>
      </c>
      <c r="D67" s="8" t="n">
        <v>5</v>
      </c>
      <c r="E67" s="8" t="n">
        <v>5</v>
      </c>
      <c r="F67" s="9" t="n">
        <v>0.47</v>
      </c>
      <c r="G67" s="8" t="n">
        <v>1</v>
      </c>
      <c r="H67" s="8" t="n">
        <v>8</v>
      </c>
      <c r="I67" s="8" t="n">
        <v>2</v>
      </c>
      <c r="J67" s="8" t="inlineStr">
        <is>
          <t>double-layer</t>
        </is>
      </c>
      <c r="K67" s="8" t="n">
        <v>2</v>
      </c>
      <c r="L67" s="8" t="n">
        <v>8</v>
      </c>
      <c r="M67" s="8" t="n">
        <v>145</v>
      </c>
      <c r="N67" s="8" t="n">
        <v>50</v>
      </c>
      <c r="O67" s="9">
        <f>Model!$B$4+Model!$B$5*((B67-1)/4)+Model!$B$6*((D67-4)/4)+Model!$B$7*((E67-1)/5)+Model!$B$8*(F67)+Model!$B$9*((G67)/2)+Model!$B$10*((H67-3)/11)+Model!$B$11*(IF(J67="double-layer",1,IF(J67="homophone",0.66,IF(J67="idiom",0.33,0))))+Model!$B$12*((5-K67)/4)</f>
        <v/>
      </c>
      <c r="P67" s="8" t="inlineStr">
        <is>
          <t>ramp</t>
        </is>
      </c>
      <c r="Q67" s="8" t="inlineStr"/>
    </row>
    <row r="68">
      <c r="A68" s="5" t="n">
        <v>67</v>
      </c>
      <c r="B68" s="6" t="n">
        <v>4</v>
      </c>
      <c r="C68" s="6" t="n">
        <v>4</v>
      </c>
      <c r="D68" s="6" t="n">
        <v>5</v>
      </c>
      <c r="E68" s="6" t="n">
        <v>5</v>
      </c>
      <c r="F68" s="7" t="n">
        <v>0.5</v>
      </c>
      <c r="G68" s="6" t="n">
        <v>1</v>
      </c>
      <c r="H68" s="6" t="n">
        <v>8</v>
      </c>
      <c r="I68" s="6" t="n">
        <v>2</v>
      </c>
      <c r="J68" s="6" t="inlineStr">
        <is>
          <t>double-layer</t>
        </is>
      </c>
      <c r="K68" s="6" t="n">
        <v>2</v>
      </c>
      <c r="L68" s="6" t="n">
        <v>8</v>
      </c>
      <c r="M68" s="6" t="n">
        <v>147</v>
      </c>
      <c r="N68" s="6" t="n">
        <v>51</v>
      </c>
      <c r="O68" s="7">
        <f>Model!$B$4+Model!$B$5*((B68-1)/4)+Model!$B$6*((D68-4)/4)+Model!$B$7*((E68-1)/5)+Model!$B$8*(F68)+Model!$B$9*((G68)/2)+Model!$B$10*((H68-3)/11)+Model!$B$11*(IF(J68="double-layer",1,IF(J68="homophone",0.66,IF(J68="idiom",0.33,0))))+Model!$B$12*((5-K68)/4)</f>
        <v/>
      </c>
      <c r="P68" s="6" t="inlineStr">
        <is>
          <t>spike</t>
        </is>
      </c>
      <c r="Q68" s="6" t="inlineStr">
        <is>
          <t>ANCHOR (=prototype v67); pinned P1-P8</t>
        </is>
      </c>
    </row>
    <row r="69">
      <c r="A69" s="8" t="n">
        <v>68</v>
      </c>
      <c r="B69" s="8" t="n">
        <v>4</v>
      </c>
      <c r="C69" s="8" t="n">
        <v>4</v>
      </c>
      <c r="D69" s="8" t="n">
        <v>5</v>
      </c>
      <c r="E69" s="8" t="n">
        <v>5</v>
      </c>
      <c r="F69" s="9" t="n">
        <v>0.49</v>
      </c>
      <c r="G69" s="8" t="n">
        <v>1</v>
      </c>
      <c r="H69" s="8" t="n">
        <v>8</v>
      </c>
      <c r="I69" s="8" t="n">
        <v>2</v>
      </c>
      <c r="J69" s="8" t="inlineStr">
        <is>
          <t>double-layer</t>
        </is>
      </c>
      <c r="K69" s="8" t="n">
        <v>2</v>
      </c>
      <c r="L69" s="8" t="n">
        <v>8</v>
      </c>
      <c r="M69" s="8" t="n">
        <v>147</v>
      </c>
      <c r="N69" s="8" t="n">
        <v>50</v>
      </c>
      <c r="O69" s="9">
        <f>Model!$B$4+Model!$B$5*((B69-1)/4)+Model!$B$6*((D69-4)/4)+Model!$B$7*((E69-1)/5)+Model!$B$8*(F69)+Model!$B$9*((G69)/2)+Model!$B$10*((H69-3)/11)+Model!$B$11*(IF(J69="double-layer",1,IF(J69="homophone",0.66,IF(J69="idiom",0.33,0))))+Model!$B$12*((5-K69)/4)</f>
        <v/>
      </c>
      <c r="P69" s="8" t="inlineStr">
        <is>
          <t>ramp</t>
        </is>
      </c>
      <c r="Q69" s="8" t="inlineStr"/>
    </row>
    <row r="70">
      <c r="A70" s="8" t="n">
        <v>69</v>
      </c>
      <c r="B70" s="8" t="n">
        <v>4</v>
      </c>
      <c r="C70" s="8" t="n">
        <v>4</v>
      </c>
      <c r="D70" s="8" t="n">
        <v>5</v>
      </c>
      <c r="E70" s="8" t="n">
        <v>5</v>
      </c>
      <c r="F70" s="9" t="n">
        <v>0.48</v>
      </c>
      <c r="G70" s="8" t="n">
        <v>1</v>
      </c>
      <c r="H70" s="8" t="n">
        <v>8</v>
      </c>
      <c r="I70" s="8" t="n">
        <v>2</v>
      </c>
      <c r="J70" s="8" t="inlineStr">
        <is>
          <t>double-layer</t>
        </is>
      </c>
      <c r="K70" s="8" t="n">
        <v>2</v>
      </c>
      <c r="L70" s="8" t="n">
        <v>8</v>
      </c>
      <c r="M70" s="8" t="n">
        <v>146</v>
      </c>
      <c r="N70" s="8" t="n">
        <v>50</v>
      </c>
      <c r="O70" s="9">
        <f>Model!$B$4+Model!$B$5*((B70-1)/4)+Model!$B$6*((D70-4)/4)+Model!$B$7*((E70-1)/5)+Model!$B$8*(F70)+Model!$B$9*((G70)/2)+Model!$B$10*((H70-3)/11)+Model!$B$11*(IF(J70="double-layer",1,IF(J70="homophone",0.66,IF(J70="idiom",0.33,0))))+Model!$B$12*((5-K70)/4)</f>
        <v/>
      </c>
      <c r="P70" s="8" t="inlineStr">
        <is>
          <t>ramp</t>
        </is>
      </c>
      <c r="Q70" s="8" t="inlineStr"/>
    </row>
    <row r="71">
      <c r="A71" s="10" t="n">
        <v>70</v>
      </c>
      <c r="B71" s="8" t="n">
        <v>4</v>
      </c>
      <c r="C71" s="8" t="n">
        <v>4</v>
      </c>
      <c r="D71" s="8" t="n">
        <v>5</v>
      </c>
      <c r="E71" s="8" t="n">
        <v>5</v>
      </c>
      <c r="F71" s="9" t="n">
        <v>0.54</v>
      </c>
      <c r="G71" s="8" t="n">
        <v>1</v>
      </c>
      <c r="H71" s="8" t="n">
        <v>8</v>
      </c>
      <c r="I71" s="8" t="n">
        <v>2</v>
      </c>
      <c r="J71" s="8" t="inlineStr">
        <is>
          <t>double-layer</t>
        </is>
      </c>
      <c r="K71" s="8" t="n">
        <v>2</v>
      </c>
      <c r="L71" s="8" t="n">
        <v>9</v>
      </c>
      <c r="M71" s="8" t="n">
        <v>150</v>
      </c>
      <c r="N71" s="8" t="n">
        <v>52</v>
      </c>
      <c r="O71" s="9">
        <f>Model!$B$4+Model!$B$5*((B71-1)/4)+Model!$B$6*((D71-4)/4)+Model!$B$7*((E71-1)/5)+Model!$B$8*(F71)+Model!$B$9*((G71)/2)+Model!$B$10*((H71-3)/11)+Model!$B$11*(IF(J71="double-layer",1,IF(J71="homophone",0.66,IF(J71="idiom",0.33,0))))+Model!$B$12*((5-K71)/4)</f>
        <v/>
      </c>
      <c r="P71" s="8" t="inlineStr">
        <is>
          <t>spike</t>
        </is>
      </c>
      <c r="Q71" s="8" t="inlineStr">
        <is>
          <t>SPIKE: double-layer puns become the block standard; P8 drops to 2</t>
        </is>
      </c>
    </row>
    <row r="72">
      <c r="A72" s="8" t="n">
        <v>71</v>
      </c>
      <c r="B72" s="8" t="n">
        <v>4</v>
      </c>
      <c r="C72" s="8" t="n">
        <v>4</v>
      </c>
      <c r="D72" s="8" t="n">
        <v>5</v>
      </c>
      <c r="E72" s="8" t="n">
        <v>5</v>
      </c>
      <c r="F72" s="9" t="n">
        <v>0.4</v>
      </c>
      <c r="G72" s="8" t="n">
        <v>1</v>
      </c>
      <c r="H72" s="8" t="n">
        <v>8</v>
      </c>
      <c r="I72" s="8" t="n">
        <v>2</v>
      </c>
      <c r="J72" s="8" t="inlineStr">
        <is>
          <t>double-layer</t>
        </is>
      </c>
      <c r="K72" s="8" t="n">
        <v>2</v>
      </c>
      <c r="L72" s="8" t="n">
        <v>9</v>
      </c>
      <c r="M72" s="8" t="n">
        <v>141</v>
      </c>
      <c r="N72" s="8" t="n">
        <v>48</v>
      </c>
      <c r="O72" s="9">
        <f>Model!$B$4+Model!$B$5*((B72-1)/4)+Model!$B$6*((D72-4)/4)+Model!$B$7*((E72-1)/5)+Model!$B$8*(F72)+Model!$B$9*((G72)/2)+Model!$B$10*((H72-3)/11)+Model!$B$11*(IF(J72="double-layer",1,IF(J72="homophone",0.66,IF(J72="idiom",0.33,0))))+Model!$B$12*((5-K72)/4)</f>
        <v/>
      </c>
      <c r="P72" s="8" t="inlineStr">
        <is>
          <t>relief</t>
        </is>
      </c>
      <c r="Q72" s="8" t="inlineStr">
        <is>
          <t>Relief: easier scramble after the spike (breather)</t>
        </is>
      </c>
    </row>
    <row r="73">
      <c r="A73" s="8" t="n">
        <v>72</v>
      </c>
      <c r="B73" s="8" t="n">
        <v>4</v>
      </c>
      <c r="C73" s="8" t="n">
        <v>4</v>
      </c>
      <c r="D73" s="8" t="n">
        <v>5</v>
      </c>
      <c r="E73" s="8" t="n">
        <v>5</v>
      </c>
      <c r="F73" s="9" t="n">
        <v>0.42</v>
      </c>
      <c r="G73" s="8" t="n">
        <v>1</v>
      </c>
      <c r="H73" s="8" t="n">
        <v>8</v>
      </c>
      <c r="I73" s="8" t="n">
        <v>2</v>
      </c>
      <c r="J73" s="8" t="inlineStr">
        <is>
          <t>double-layer</t>
        </is>
      </c>
      <c r="K73" s="8" t="n">
        <v>2</v>
      </c>
      <c r="L73" s="8" t="n">
        <v>9</v>
      </c>
      <c r="M73" s="8" t="n">
        <v>142</v>
      </c>
      <c r="N73" s="8" t="n">
        <v>48</v>
      </c>
      <c r="O73" s="9">
        <f>Model!$B$4+Model!$B$5*((B73-1)/4)+Model!$B$6*((D73-4)/4)+Model!$B$7*((E73-1)/5)+Model!$B$8*(F73)+Model!$B$9*((G73)/2)+Model!$B$10*((H73-3)/11)+Model!$B$11*(IF(J73="double-layer",1,IF(J73="homophone",0.66,IF(J73="idiom",0.33,0))))+Model!$B$12*((5-K73)/4)</f>
        <v/>
      </c>
      <c r="P73" s="8" t="inlineStr">
        <is>
          <t>ramp</t>
        </is>
      </c>
      <c r="Q73" s="8" t="inlineStr"/>
    </row>
    <row r="74">
      <c r="A74" s="8" t="n">
        <v>73</v>
      </c>
      <c r="B74" s="8" t="n">
        <v>4</v>
      </c>
      <c r="C74" s="8" t="n">
        <v>4</v>
      </c>
      <c r="D74" s="8" t="n">
        <v>5</v>
      </c>
      <c r="E74" s="8" t="n">
        <v>4</v>
      </c>
      <c r="F74" s="9" t="n">
        <v>0.45</v>
      </c>
      <c r="G74" s="8" t="n">
        <v>1</v>
      </c>
      <c r="H74" s="8" t="n">
        <v>8</v>
      </c>
      <c r="I74" s="8" t="n">
        <v>2</v>
      </c>
      <c r="J74" s="8" t="inlineStr">
        <is>
          <t>double-layer</t>
        </is>
      </c>
      <c r="K74" s="8" t="n">
        <v>3</v>
      </c>
      <c r="L74" s="8" t="n">
        <v>9</v>
      </c>
      <c r="M74" s="8" t="n">
        <v>143</v>
      </c>
      <c r="N74" s="8" t="n">
        <v>49</v>
      </c>
      <c r="O74" s="9">
        <f>Model!$B$4+Model!$B$5*((B74-1)/4)+Model!$B$6*((D74-4)/4)+Model!$B$7*((E74-1)/5)+Model!$B$8*(F74)+Model!$B$9*((G74)/2)+Model!$B$10*((H74-3)/11)+Model!$B$11*(IF(J74="double-layer",1,IF(J74="homophone",0.66,IF(J74="idiom",0.33,0))))+Model!$B$12*((5-K74)/4)</f>
        <v/>
      </c>
      <c r="P74" s="8" t="inlineStr">
        <is>
          <t>ramp</t>
        </is>
      </c>
      <c r="Q74" s="8" t="inlineStr"/>
    </row>
    <row r="75">
      <c r="A75" s="8" t="n">
        <v>74</v>
      </c>
      <c r="B75" s="8" t="n">
        <v>4</v>
      </c>
      <c r="C75" s="8" t="n">
        <v>4</v>
      </c>
      <c r="D75" s="8" t="n">
        <v>5</v>
      </c>
      <c r="E75" s="8" t="n">
        <v>4</v>
      </c>
      <c r="F75" s="9" t="n">
        <v>0.47</v>
      </c>
      <c r="G75" s="8" t="n">
        <v>1</v>
      </c>
      <c r="H75" s="8" t="n">
        <v>8</v>
      </c>
      <c r="I75" s="8" t="n">
        <v>2</v>
      </c>
      <c r="J75" s="8" t="inlineStr">
        <is>
          <t>double-layer</t>
        </is>
      </c>
      <c r="K75" s="8" t="n">
        <v>3</v>
      </c>
      <c r="L75" s="8" t="n">
        <v>9</v>
      </c>
      <c r="M75" s="8" t="n">
        <v>144</v>
      </c>
      <c r="N75" s="8" t="n">
        <v>49</v>
      </c>
      <c r="O75" s="9">
        <f>Model!$B$4+Model!$B$5*((B75-1)/4)+Model!$B$6*((D75-4)/4)+Model!$B$7*((E75-1)/5)+Model!$B$8*(F75)+Model!$B$9*((G75)/2)+Model!$B$10*((H75-3)/11)+Model!$B$11*(IF(J75="double-layer",1,IF(J75="homophone",0.66,IF(J75="idiom",0.33,0))))+Model!$B$12*((5-K75)/4)</f>
        <v/>
      </c>
      <c r="P75" s="8" t="inlineStr">
        <is>
          <t>ramp</t>
        </is>
      </c>
      <c r="Q75" s="8" t="inlineStr"/>
    </row>
    <row r="76">
      <c r="A76" s="8" t="n">
        <v>75</v>
      </c>
      <c r="B76" s="8" t="n">
        <v>4</v>
      </c>
      <c r="C76" s="8" t="n">
        <v>4</v>
      </c>
      <c r="D76" s="8" t="n">
        <v>5</v>
      </c>
      <c r="E76" s="8" t="n">
        <v>4</v>
      </c>
      <c r="F76" s="9" t="n">
        <v>0.46</v>
      </c>
      <c r="G76" s="8" t="n">
        <v>1</v>
      </c>
      <c r="H76" s="8" t="n">
        <v>8</v>
      </c>
      <c r="I76" s="8" t="n">
        <v>2</v>
      </c>
      <c r="J76" s="8" t="inlineStr">
        <is>
          <t>double-layer</t>
        </is>
      </c>
      <c r="K76" s="8" t="n">
        <v>3</v>
      </c>
      <c r="L76" s="8" t="n">
        <v>9</v>
      </c>
      <c r="M76" s="8" t="n">
        <v>143</v>
      </c>
      <c r="N76" s="8" t="n">
        <v>49</v>
      </c>
      <c r="O76" s="9">
        <f>Model!$B$4+Model!$B$5*((B76-1)/4)+Model!$B$6*((D76-4)/4)+Model!$B$7*((E76-1)/5)+Model!$B$8*(F76)+Model!$B$9*((G76)/2)+Model!$B$10*((H76-3)/11)+Model!$B$11*(IF(J76="double-layer",1,IF(J76="homophone",0.66,IF(J76="idiom",0.33,0))))+Model!$B$12*((5-K76)/4)</f>
        <v/>
      </c>
      <c r="P76" s="8" t="inlineStr">
        <is>
          <t>ramp</t>
        </is>
      </c>
      <c r="Q76" s="8" t="inlineStr"/>
    </row>
    <row r="77">
      <c r="A77" s="8" t="n">
        <v>76</v>
      </c>
      <c r="B77" s="8" t="n">
        <v>4</v>
      </c>
      <c r="C77" s="8" t="n">
        <v>4</v>
      </c>
      <c r="D77" s="8" t="n">
        <v>5</v>
      </c>
      <c r="E77" s="8" t="n">
        <v>4</v>
      </c>
      <c r="F77" s="9" t="n">
        <v>0.39</v>
      </c>
      <c r="G77" s="8" t="n">
        <v>1</v>
      </c>
      <c r="H77" s="8" t="n">
        <v>8</v>
      </c>
      <c r="I77" s="8" t="n">
        <v>2</v>
      </c>
      <c r="J77" s="8" t="inlineStr">
        <is>
          <t>double-layer</t>
        </is>
      </c>
      <c r="K77" s="8" t="n">
        <v>3</v>
      </c>
      <c r="L77" s="8" t="n">
        <v>9</v>
      </c>
      <c r="M77" s="8" t="n">
        <v>139</v>
      </c>
      <c r="N77" s="8" t="n">
        <v>47</v>
      </c>
      <c r="O77" s="9">
        <f>Model!$B$4+Model!$B$5*((B77-1)/4)+Model!$B$6*((D77-4)/4)+Model!$B$7*((E77-1)/5)+Model!$B$8*(F77)+Model!$B$9*((G77)/2)+Model!$B$10*((H77-3)/11)+Model!$B$11*(IF(J77="double-layer",1,IF(J77="homophone",0.66,IF(J77="idiom",0.33,0))))+Model!$B$12*((5-K77)/4)</f>
        <v/>
      </c>
      <c r="P77" s="8" t="inlineStr">
        <is>
          <t>ramp</t>
        </is>
      </c>
      <c r="Q77" s="8" t="inlineStr"/>
    </row>
    <row r="78">
      <c r="A78" s="8" t="n">
        <v>77</v>
      </c>
      <c r="B78" s="8" t="n">
        <v>4</v>
      </c>
      <c r="C78" s="8" t="n">
        <v>4</v>
      </c>
      <c r="D78" s="8" t="n">
        <v>5</v>
      </c>
      <c r="E78" s="8" t="n">
        <v>4</v>
      </c>
      <c r="F78" s="9" t="n">
        <v>0.41</v>
      </c>
      <c r="G78" s="8" t="n">
        <v>1</v>
      </c>
      <c r="H78" s="8" t="n">
        <v>8</v>
      </c>
      <c r="I78" s="8" t="n">
        <v>2</v>
      </c>
      <c r="J78" s="8" t="inlineStr">
        <is>
          <t>double-layer</t>
        </is>
      </c>
      <c r="K78" s="8" t="n">
        <v>3</v>
      </c>
      <c r="L78" s="8" t="n">
        <v>9</v>
      </c>
      <c r="M78" s="8" t="n">
        <v>140</v>
      </c>
      <c r="N78" s="8" t="n">
        <v>48</v>
      </c>
      <c r="O78" s="9">
        <f>Model!$B$4+Model!$B$5*((B78-1)/4)+Model!$B$6*((D78-4)/4)+Model!$B$7*((E78-1)/5)+Model!$B$8*(F78)+Model!$B$9*((G78)/2)+Model!$B$10*((H78-3)/11)+Model!$B$11*(IF(J78="double-layer",1,IF(J78="homophone",0.66,IF(J78="idiom",0.33,0))))+Model!$B$12*((5-K78)/4)</f>
        <v/>
      </c>
      <c r="P78" s="8" t="inlineStr">
        <is>
          <t>ramp</t>
        </is>
      </c>
      <c r="Q78" s="8" t="inlineStr"/>
    </row>
    <row r="79">
      <c r="A79" s="6" t="n">
        <v>78</v>
      </c>
      <c r="B79" s="6" t="n">
        <v>4</v>
      </c>
      <c r="C79" s="6" t="n">
        <v>4</v>
      </c>
      <c r="D79" s="6" t="n">
        <v>5</v>
      </c>
      <c r="E79" s="6" t="n">
        <v>4</v>
      </c>
      <c r="F79" s="7" t="n">
        <v>0.4</v>
      </c>
      <c r="G79" s="6" t="n">
        <v>1</v>
      </c>
      <c r="H79" s="6" t="n">
        <v>8</v>
      </c>
      <c r="I79" s="6" t="n">
        <v>2</v>
      </c>
      <c r="J79" s="6" t="inlineStr">
        <is>
          <t>double-layer</t>
        </is>
      </c>
      <c r="K79" s="6" t="n">
        <v>3</v>
      </c>
      <c r="L79" s="6" t="n">
        <v>9</v>
      </c>
      <c r="M79" s="6" t="n">
        <v>139</v>
      </c>
      <c r="N79" s="6" t="n">
        <v>47</v>
      </c>
      <c r="O79" s="7">
        <f>Model!$B$4+Model!$B$5*((B79-1)/4)+Model!$B$6*((D79-4)/4)+Model!$B$7*((E79-1)/5)+Model!$B$8*(F79)+Model!$B$9*((G79)/2)+Model!$B$10*((H79-3)/11)+Model!$B$11*(IF(J79="double-layer",1,IF(J79="homophone",0.66,IF(J79="idiom",0.33,0))))+Model!$B$12*((5-K79)/4)</f>
        <v/>
      </c>
      <c r="P79" s="6" t="inlineStr">
        <is>
          <t>relief</t>
        </is>
      </c>
      <c r="Q79" s="6" t="inlineStr">
        <is>
          <t>ANCHOR (=prototype v78); pinned P1-P8</t>
        </is>
      </c>
    </row>
    <row r="80">
      <c r="A80" s="8" t="n">
        <v>79</v>
      </c>
      <c r="B80" s="8" t="n">
        <v>4</v>
      </c>
      <c r="C80" s="8" t="n">
        <v>4</v>
      </c>
      <c r="D80" s="8" t="n">
        <v>5</v>
      </c>
      <c r="E80" s="8" t="n">
        <v>4</v>
      </c>
      <c r="F80" s="9" t="n">
        <v>0.42</v>
      </c>
      <c r="G80" s="8" t="n">
        <v>1</v>
      </c>
      <c r="H80" s="8" t="n">
        <v>8</v>
      </c>
      <c r="I80" s="8" t="n">
        <v>2</v>
      </c>
      <c r="J80" s="8" t="inlineStr">
        <is>
          <t>double-layer</t>
        </is>
      </c>
      <c r="K80" s="8" t="n">
        <v>3</v>
      </c>
      <c r="L80" s="8" t="n">
        <v>9</v>
      </c>
      <c r="M80" s="8" t="n">
        <v>141</v>
      </c>
      <c r="N80" s="8" t="n">
        <v>48</v>
      </c>
      <c r="O80" s="9">
        <f>Model!$B$4+Model!$B$5*((B80-1)/4)+Model!$B$6*((D80-4)/4)+Model!$B$7*((E80-1)/5)+Model!$B$8*(F80)+Model!$B$9*((G80)/2)+Model!$B$10*((H80-3)/11)+Model!$B$11*(IF(J80="double-layer",1,IF(J80="homophone",0.66,IF(J80="idiom",0.33,0))))+Model!$B$12*((5-K80)/4)</f>
        <v/>
      </c>
      <c r="P80" s="8" t="inlineStr">
        <is>
          <t>ramp</t>
        </is>
      </c>
      <c r="Q80" s="8" t="inlineStr"/>
    </row>
    <row r="81">
      <c r="A81" s="10" t="n">
        <v>80</v>
      </c>
      <c r="B81" s="8" t="n">
        <v>4</v>
      </c>
      <c r="C81" s="8" t="n">
        <v>4</v>
      </c>
      <c r="D81" s="8" t="n">
        <v>5</v>
      </c>
      <c r="E81" s="8" t="n">
        <v>4</v>
      </c>
      <c r="F81" s="9" t="n">
        <v>0.51</v>
      </c>
      <c r="G81" s="8" t="n">
        <v>1</v>
      </c>
      <c r="H81" s="8" t="n">
        <v>8</v>
      </c>
      <c r="I81" s="8" t="n">
        <v>2</v>
      </c>
      <c r="J81" s="8" t="inlineStr">
        <is>
          <t>double-layer</t>
        </is>
      </c>
      <c r="K81" s="8" t="n">
        <v>3</v>
      </c>
      <c r="L81" s="8" t="n">
        <v>9</v>
      </c>
      <c r="M81" s="8" t="n">
        <v>147</v>
      </c>
      <c r="N81" s="8" t="n">
        <v>50</v>
      </c>
      <c r="O81" s="9">
        <f>Model!$B$4+Model!$B$5*((B81-1)/4)+Model!$B$6*((D81-4)/4)+Model!$B$7*((E81-1)/5)+Model!$B$8*(F81)+Model!$B$9*((G81)/2)+Model!$B$10*((H81-3)/11)+Model!$B$11*(IF(J81="double-layer",1,IF(J81="homophone",0.66,IF(J81="idiom",0.33,0))))+Model!$B$12*((5-K81)/4)</f>
        <v/>
      </c>
      <c r="P81" s="8" t="inlineStr">
        <is>
          <t>spike</t>
        </is>
      </c>
      <c r="Q81" s="8" t="inlineStr">
        <is>
          <t>SPIKE: 4-word levels harden; rarer lexicon (P3=5)</t>
        </is>
      </c>
    </row>
    <row r="82">
      <c r="A82" s="8" t="n">
        <v>81</v>
      </c>
      <c r="B82" s="8" t="n">
        <v>4</v>
      </c>
      <c r="C82" s="8" t="n">
        <v>4</v>
      </c>
      <c r="D82" s="8" t="n">
        <v>5</v>
      </c>
      <c r="E82" s="8" t="n">
        <v>4</v>
      </c>
      <c r="F82" s="9" t="n">
        <v>0.39</v>
      </c>
      <c r="G82" s="8" t="n">
        <v>1</v>
      </c>
      <c r="H82" s="8" t="n">
        <v>8</v>
      </c>
      <c r="I82" s="8" t="n">
        <v>2</v>
      </c>
      <c r="J82" s="8" t="inlineStr">
        <is>
          <t>double-layer</t>
        </is>
      </c>
      <c r="K82" s="8" t="n">
        <v>3</v>
      </c>
      <c r="L82" s="8" t="n">
        <v>9</v>
      </c>
      <c r="M82" s="8" t="n">
        <v>139</v>
      </c>
      <c r="N82" s="8" t="n">
        <v>47</v>
      </c>
      <c r="O82" s="9">
        <f>Model!$B$4+Model!$B$5*((B82-1)/4)+Model!$B$6*((D82-4)/4)+Model!$B$7*((E82-1)/5)+Model!$B$8*(F82)+Model!$B$9*((G82)/2)+Model!$B$10*((H82-3)/11)+Model!$B$11*(IF(J82="double-layer",1,IF(J82="homophone",0.66,IF(J82="idiom",0.33,0))))+Model!$B$12*((5-K82)/4)</f>
        <v/>
      </c>
      <c r="P82" s="8" t="inlineStr">
        <is>
          <t>relief</t>
        </is>
      </c>
      <c r="Q82" s="8" t="inlineStr">
        <is>
          <t>Relief: easier scramble after the spike (breather)</t>
        </is>
      </c>
    </row>
    <row r="83">
      <c r="A83" s="8" t="n">
        <v>82</v>
      </c>
      <c r="B83" s="8" t="n">
        <v>4</v>
      </c>
      <c r="C83" s="8" t="n">
        <v>4</v>
      </c>
      <c r="D83" s="8" t="n">
        <v>5</v>
      </c>
      <c r="E83" s="8" t="n">
        <v>5</v>
      </c>
      <c r="F83" s="9" t="n">
        <v>0.44</v>
      </c>
      <c r="G83" s="8" t="n">
        <v>1</v>
      </c>
      <c r="H83" s="8" t="n">
        <v>9</v>
      </c>
      <c r="I83" s="8" t="n">
        <v>2</v>
      </c>
      <c r="J83" s="8" t="inlineStr">
        <is>
          <t>double-layer</t>
        </is>
      </c>
      <c r="K83" s="8" t="n">
        <v>3</v>
      </c>
      <c r="L83" s="8" t="n">
        <v>9</v>
      </c>
      <c r="M83" s="8" t="n">
        <v>143</v>
      </c>
      <c r="N83" s="8" t="n">
        <v>49</v>
      </c>
      <c r="O83" s="9">
        <f>Model!$B$4+Model!$B$5*((B83-1)/4)+Model!$B$6*((D83-4)/4)+Model!$B$7*((E83-1)/5)+Model!$B$8*(F83)+Model!$B$9*((G83)/2)+Model!$B$10*((H83-3)/11)+Model!$B$11*(IF(J83="double-layer",1,IF(J83="homophone",0.66,IF(J83="idiom",0.33,0))))+Model!$B$12*((5-K83)/4)</f>
        <v/>
      </c>
      <c r="P83" s="8" t="inlineStr">
        <is>
          <t>ramp</t>
        </is>
      </c>
      <c r="Q83" s="8" t="inlineStr"/>
    </row>
    <row r="84">
      <c r="A84" s="8" t="n">
        <v>83</v>
      </c>
      <c r="B84" s="8" t="n">
        <v>4</v>
      </c>
      <c r="C84" s="8" t="n">
        <v>4</v>
      </c>
      <c r="D84" s="8" t="n">
        <v>5</v>
      </c>
      <c r="E84" s="8" t="n">
        <v>5</v>
      </c>
      <c r="F84" s="9" t="n">
        <v>0.49</v>
      </c>
      <c r="G84" s="8" t="n">
        <v>1</v>
      </c>
      <c r="H84" s="8" t="n">
        <v>9</v>
      </c>
      <c r="I84" s="8" t="n">
        <v>2</v>
      </c>
      <c r="J84" s="8" t="inlineStr">
        <is>
          <t>double-layer</t>
        </is>
      </c>
      <c r="K84" s="8" t="n">
        <v>3</v>
      </c>
      <c r="L84" s="8" t="n">
        <v>9</v>
      </c>
      <c r="M84" s="8" t="n">
        <v>147</v>
      </c>
      <c r="N84" s="8" t="n">
        <v>51</v>
      </c>
      <c r="O84" s="9">
        <f>Model!$B$4+Model!$B$5*((B84-1)/4)+Model!$B$6*((D84-4)/4)+Model!$B$7*((E84-1)/5)+Model!$B$8*(F84)+Model!$B$9*((G84)/2)+Model!$B$10*((H84-3)/11)+Model!$B$11*(IF(J84="double-layer",1,IF(J84="homophone",0.66,IF(J84="idiom",0.33,0))))+Model!$B$12*((5-K84)/4)</f>
        <v/>
      </c>
      <c r="P84" s="8" t="inlineStr">
        <is>
          <t>ramp</t>
        </is>
      </c>
      <c r="Q84" s="8" t="inlineStr"/>
    </row>
    <row r="85">
      <c r="A85" s="8" t="n">
        <v>84</v>
      </c>
      <c r="B85" s="8" t="n">
        <v>4</v>
      </c>
      <c r="C85" s="8" t="n">
        <v>4</v>
      </c>
      <c r="D85" s="8" t="n">
        <v>5</v>
      </c>
      <c r="E85" s="8" t="n">
        <v>5</v>
      </c>
      <c r="F85" s="9" t="n">
        <v>0.54</v>
      </c>
      <c r="G85" s="8" t="n">
        <v>1</v>
      </c>
      <c r="H85" s="8" t="n">
        <v>9</v>
      </c>
      <c r="I85" s="8" t="n">
        <v>2</v>
      </c>
      <c r="J85" s="8" t="inlineStr">
        <is>
          <t>double-layer</t>
        </is>
      </c>
      <c r="K85" s="8" t="n">
        <v>3</v>
      </c>
      <c r="L85" s="8" t="n">
        <v>9</v>
      </c>
      <c r="M85" s="8" t="n">
        <v>150</v>
      </c>
      <c r="N85" s="8" t="n">
        <v>52</v>
      </c>
      <c r="O85" s="9">
        <f>Model!$B$4+Model!$B$5*((B85-1)/4)+Model!$B$6*((D85-4)/4)+Model!$B$7*((E85-1)/5)+Model!$B$8*(F85)+Model!$B$9*((G85)/2)+Model!$B$10*((H85-3)/11)+Model!$B$11*(IF(J85="double-layer",1,IF(J85="homophone",0.66,IF(J85="idiom",0.33,0))))+Model!$B$12*((5-K85)/4)</f>
        <v/>
      </c>
      <c r="P85" s="8" t="inlineStr">
        <is>
          <t>ramp</t>
        </is>
      </c>
      <c r="Q85" s="8" t="inlineStr"/>
    </row>
    <row r="86">
      <c r="A86" s="8" t="n">
        <v>85</v>
      </c>
      <c r="B86" s="8" t="n">
        <v>4</v>
      </c>
      <c r="C86" s="8" t="n">
        <v>4</v>
      </c>
      <c r="D86" s="8" t="n">
        <v>5</v>
      </c>
      <c r="E86" s="8" t="n">
        <v>5</v>
      </c>
      <c r="F86" s="9" t="n">
        <v>0.5600000000000001</v>
      </c>
      <c r="G86" s="8" t="n">
        <v>1</v>
      </c>
      <c r="H86" s="8" t="n">
        <v>9</v>
      </c>
      <c r="I86" s="8" t="n">
        <v>2</v>
      </c>
      <c r="J86" s="8" t="inlineStr">
        <is>
          <t>double-layer</t>
        </is>
      </c>
      <c r="K86" s="8" t="n">
        <v>3</v>
      </c>
      <c r="L86" s="8" t="n">
        <v>9</v>
      </c>
      <c r="M86" s="8" t="n">
        <v>152</v>
      </c>
      <c r="N86" s="8" t="n">
        <v>52</v>
      </c>
      <c r="O86" s="9">
        <f>Model!$B$4+Model!$B$5*((B86-1)/4)+Model!$B$6*((D86-4)/4)+Model!$B$7*((E86-1)/5)+Model!$B$8*(F86)+Model!$B$9*((G86)/2)+Model!$B$10*((H86-3)/11)+Model!$B$11*(IF(J86="double-layer",1,IF(J86="homophone",0.66,IF(J86="idiom",0.33,0))))+Model!$B$12*((5-K86)/4)</f>
        <v/>
      </c>
      <c r="P86" s="8" t="inlineStr">
        <is>
          <t>ramp</t>
        </is>
      </c>
      <c r="Q86" s="8" t="inlineStr"/>
    </row>
    <row r="87">
      <c r="A87" s="8" t="n">
        <v>86</v>
      </c>
      <c r="B87" s="8" t="n">
        <v>4</v>
      </c>
      <c r="C87" s="8" t="n">
        <v>4</v>
      </c>
      <c r="D87" s="8" t="n">
        <v>6</v>
      </c>
      <c r="E87" s="8" t="n">
        <v>5</v>
      </c>
      <c r="F87" s="9" t="n">
        <v>0.52</v>
      </c>
      <c r="G87" s="8" t="n">
        <v>1</v>
      </c>
      <c r="H87" s="8" t="n">
        <v>9</v>
      </c>
      <c r="I87" s="8" t="n">
        <v>2</v>
      </c>
      <c r="J87" s="8" t="inlineStr">
        <is>
          <t>double-layer</t>
        </is>
      </c>
      <c r="K87" s="8" t="n">
        <v>2</v>
      </c>
      <c r="L87" s="8" t="n">
        <v>9</v>
      </c>
      <c r="M87" s="8" t="n">
        <v>156</v>
      </c>
      <c r="N87" s="8" t="n">
        <v>54</v>
      </c>
      <c r="O87" s="9">
        <f>Model!$B$4+Model!$B$5*((B87-1)/4)+Model!$B$6*((D87-4)/4)+Model!$B$7*((E87-1)/5)+Model!$B$8*(F87)+Model!$B$9*((G87)/2)+Model!$B$10*((H87-3)/11)+Model!$B$11*(IF(J87="double-layer",1,IF(J87="homophone",0.66,IF(J87="idiom",0.33,0))))+Model!$B$12*((5-K87)/4)</f>
        <v/>
      </c>
      <c r="P87" s="8" t="inlineStr">
        <is>
          <t>ramp</t>
        </is>
      </c>
      <c r="Q87" s="8" t="inlineStr"/>
    </row>
    <row r="88">
      <c r="A88" s="8" t="n">
        <v>87</v>
      </c>
      <c r="B88" s="8" t="n">
        <v>4</v>
      </c>
      <c r="C88" s="8" t="n">
        <v>4</v>
      </c>
      <c r="D88" s="8" t="n">
        <v>6</v>
      </c>
      <c r="E88" s="8" t="n">
        <v>5</v>
      </c>
      <c r="F88" s="9" t="n">
        <v>0.5600000000000001</v>
      </c>
      <c r="G88" s="8" t="n">
        <v>1</v>
      </c>
      <c r="H88" s="8" t="n">
        <v>9</v>
      </c>
      <c r="I88" s="8" t="n">
        <v>2</v>
      </c>
      <c r="J88" s="8" t="inlineStr">
        <is>
          <t>double-layer</t>
        </is>
      </c>
      <c r="K88" s="8" t="n">
        <v>2</v>
      </c>
      <c r="L88" s="8" t="n">
        <v>9</v>
      </c>
      <c r="M88" s="8" t="n">
        <v>159</v>
      </c>
      <c r="N88" s="8" t="n">
        <v>55</v>
      </c>
      <c r="O88" s="9">
        <f>Model!$B$4+Model!$B$5*((B88-1)/4)+Model!$B$6*((D88-4)/4)+Model!$B$7*((E88-1)/5)+Model!$B$8*(F88)+Model!$B$9*((G88)/2)+Model!$B$10*((H88-3)/11)+Model!$B$11*(IF(J88="double-layer",1,IF(J88="homophone",0.66,IF(J88="idiom",0.33,0))))+Model!$B$12*((5-K88)/4)</f>
        <v/>
      </c>
      <c r="P88" s="8" t="inlineStr">
        <is>
          <t>ramp</t>
        </is>
      </c>
      <c r="Q88" s="8" t="inlineStr"/>
    </row>
    <row r="89">
      <c r="A89" s="8" t="n">
        <v>88</v>
      </c>
      <c r="B89" s="8" t="n">
        <v>4</v>
      </c>
      <c r="C89" s="8" t="n">
        <v>4</v>
      </c>
      <c r="D89" s="8" t="n">
        <v>6</v>
      </c>
      <c r="E89" s="8" t="n">
        <v>5</v>
      </c>
      <c r="F89" s="9" t="n">
        <v>0.58</v>
      </c>
      <c r="G89" s="8" t="n">
        <v>1</v>
      </c>
      <c r="H89" s="8" t="n">
        <v>10</v>
      </c>
      <c r="I89" s="8" t="n">
        <v>2</v>
      </c>
      <c r="J89" s="8" t="inlineStr">
        <is>
          <t>double-layer</t>
        </is>
      </c>
      <c r="K89" s="8" t="n">
        <v>2</v>
      </c>
      <c r="L89" s="8" t="n">
        <v>9</v>
      </c>
      <c r="M89" s="8" t="n">
        <v>161</v>
      </c>
      <c r="N89" s="8" t="n">
        <v>56</v>
      </c>
      <c r="O89" s="9">
        <f>Model!$B$4+Model!$B$5*((B89-1)/4)+Model!$B$6*((D89-4)/4)+Model!$B$7*((E89-1)/5)+Model!$B$8*(F89)+Model!$B$9*((G89)/2)+Model!$B$10*((H89-3)/11)+Model!$B$11*(IF(J89="double-layer",1,IF(J89="homophone",0.66,IF(J89="idiom",0.33,0))))+Model!$B$12*((5-K89)/4)</f>
        <v/>
      </c>
      <c r="P89" s="8" t="inlineStr">
        <is>
          <t>ramp</t>
        </is>
      </c>
      <c r="Q89" s="8" t="inlineStr"/>
    </row>
    <row r="90">
      <c r="A90" s="6" t="n">
        <v>89</v>
      </c>
      <c r="B90" s="6" t="n">
        <v>4</v>
      </c>
      <c r="C90" s="6" t="n">
        <v>4</v>
      </c>
      <c r="D90" s="6" t="n">
        <v>6</v>
      </c>
      <c r="E90" s="6" t="n">
        <v>5</v>
      </c>
      <c r="F90" s="7" t="n">
        <v>0.6</v>
      </c>
      <c r="G90" s="6" t="n">
        <v>1</v>
      </c>
      <c r="H90" s="6" t="n">
        <v>10</v>
      </c>
      <c r="I90" s="6" t="n">
        <v>2</v>
      </c>
      <c r="J90" s="6" t="inlineStr">
        <is>
          <t>double-layer</t>
        </is>
      </c>
      <c r="K90" s="6" t="n">
        <v>2</v>
      </c>
      <c r="L90" s="6" t="n">
        <v>9</v>
      </c>
      <c r="M90" s="6" t="n">
        <v>163</v>
      </c>
      <c r="N90" s="6" t="n">
        <v>57</v>
      </c>
      <c r="O90" s="7">
        <f>Model!$B$4+Model!$B$5*((B90-1)/4)+Model!$B$6*((D90-4)/4)+Model!$B$7*((E90-1)/5)+Model!$B$8*(F90)+Model!$B$9*((G90)/2)+Model!$B$10*((H90-3)/11)+Model!$B$11*(IF(J90="double-layer",1,IF(J90="homophone",0.66,IF(J90="idiom",0.33,0))))+Model!$B$12*((5-K90)/4)</f>
        <v/>
      </c>
      <c r="P90" s="6" t="inlineStr">
        <is>
          <t>ramp</t>
        </is>
      </c>
      <c r="Q90" s="6" t="inlineStr">
        <is>
          <t>ANCHOR (=prototype v89); pinned P1-P8</t>
        </is>
      </c>
    </row>
    <row r="91">
      <c r="A91" s="10" t="n">
        <v>90</v>
      </c>
      <c r="B91" s="8" t="n">
        <v>4</v>
      </c>
      <c r="C91" s="8" t="n">
        <v>4</v>
      </c>
      <c r="D91" s="8" t="n">
        <v>6</v>
      </c>
      <c r="E91" s="8" t="n">
        <v>5</v>
      </c>
      <c r="F91" s="9" t="n">
        <v>0.68</v>
      </c>
      <c r="G91" s="8" t="n">
        <v>1</v>
      </c>
      <c r="H91" s="8" t="n">
        <v>10</v>
      </c>
      <c r="I91" s="8" t="n">
        <v>2</v>
      </c>
      <c r="J91" s="8" t="inlineStr">
        <is>
          <t>double-layer</t>
        </is>
      </c>
      <c r="K91" s="8" t="n">
        <v>2</v>
      </c>
      <c r="L91" s="8" t="n">
        <v>10</v>
      </c>
      <c r="M91" s="8" t="n">
        <v>168</v>
      </c>
      <c r="N91" s="8" t="n">
        <v>59</v>
      </c>
      <c r="O91" s="9">
        <f>Model!$B$4+Model!$B$5*((B91-1)/4)+Model!$B$6*((D91-4)/4)+Model!$B$7*((E91-1)/5)+Model!$B$8*(F91)+Model!$B$9*((G91)/2)+Model!$B$10*((H91-3)/11)+Model!$B$11*(IF(J91="double-layer",1,IF(J91="homophone",0.66,IF(J91="idiom",0.33,0))))+Model!$B$12*((5-K91)/4)</f>
        <v/>
      </c>
      <c r="P91" s="8" t="inlineStr">
        <is>
          <t>spike</t>
        </is>
      </c>
      <c r="Q91" s="8" t="inlineStr">
        <is>
          <t>SPIKE: near-max scramble + double-layer; exam approaches</t>
        </is>
      </c>
    </row>
    <row r="92">
      <c r="A92" s="8" t="n">
        <v>91</v>
      </c>
      <c r="B92" s="8" t="n">
        <v>4</v>
      </c>
      <c r="C92" s="8" t="n">
        <v>4</v>
      </c>
      <c r="D92" s="8" t="n">
        <v>6</v>
      </c>
      <c r="E92" s="8" t="n">
        <v>5</v>
      </c>
      <c r="F92" s="9" t="n">
        <v>0.5600000000000001</v>
      </c>
      <c r="G92" s="8" t="n">
        <v>1</v>
      </c>
      <c r="H92" s="8" t="n">
        <v>10</v>
      </c>
      <c r="I92" s="8" t="n">
        <v>2</v>
      </c>
      <c r="J92" s="8" t="inlineStr">
        <is>
          <t>double-layer</t>
        </is>
      </c>
      <c r="K92" s="8" t="n">
        <v>2</v>
      </c>
      <c r="L92" s="8" t="n">
        <v>10</v>
      </c>
      <c r="M92" s="8" t="n">
        <v>160</v>
      </c>
      <c r="N92" s="8" t="n">
        <v>56</v>
      </c>
      <c r="O92" s="9">
        <f>Model!$B$4+Model!$B$5*((B92-1)/4)+Model!$B$6*((D92-4)/4)+Model!$B$7*((E92-1)/5)+Model!$B$8*(F92)+Model!$B$9*((G92)/2)+Model!$B$10*((H92-3)/11)+Model!$B$11*(IF(J92="double-layer",1,IF(J92="homophone",0.66,IF(J92="idiom",0.33,0))))+Model!$B$12*((5-K92)/4)</f>
        <v/>
      </c>
      <c r="P92" s="8" t="inlineStr">
        <is>
          <t>relief</t>
        </is>
      </c>
      <c r="Q92" s="8" t="inlineStr">
        <is>
          <t>Relief: easier scramble after the spike (breather)</t>
        </is>
      </c>
    </row>
    <row r="93">
      <c r="A93" s="8" t="n">
        <v>92</v>
      </c>
      <c r="B93" s="8" t="n">
        <v>4</v>
      </c>
      <c r="C93" s="8" t="n">
        <v>4</v>
      </c>
      <c r="D93" s="8" t="n">
        <v>6</v>
      </c>
      <c r="E93" s="8" t="n">
        <v>5</v>
      </c>
      <c r="F93" s="9" t="n">
        <v>0.6</v>
      </c>
      <c r="G93" s="8" t="n">
        <v>1</v>
      </c>
      <c r="H93" s="8" t="n">
        <v>10</v>
      </c>
      <c r="I93" s="8" t="n">
        <v>2</v>
      </c>
      <c r="J93" s="8" t="inlineStr">
        <is>
          <t>double-layer</t>
        </is>
      </c>
      <c r="K93" s="8" t="n">
        <v>2</v>
      </c>
      <c r="L93" s="8" t="n">
        <v>10</v>
      </c>
      <c r="M93" s="8" t="n">
        <v>163</v>
      </c>
      <c r="N93" s="8" t="n">
        <v>57</v>
      </c>
      <c r="O93" s="9">
        <f>Model!$B$4+Model!$B$5*((B93-1)/4)+Model!$B$6*((D93-4)/4)+Model!$B$7*((E93-1)/5)+Model!$B$8*(F93)+Model!$B$9*((G93)/2)+Model!$B$10*((H93-3)/11)+Model!$B$11*(IF(J93="double-layer",1,IF(J93="homophone",0.66,IF(J93="idiom",0.33,0))))+Model!$B$12*((5-K93)/4)</f>
        <v/>
      </c>
      <c r="P93" s="8" t="inlineStr">
        <is>
          <t>ramp</t>
        </is>
      </c>
      <c r="Q93" s="8" t="inlineStr"/>
    </row>
    <row r="94">
      <c r="A94" s="8" t="n">
        <v>93</v>
      </c>
      <c r="B94" s="8" t="n">
        <v>4</v>
      </c>
      <c r="C94" s="8" t="n">
        <v>4</v>
      </c>
      <c r="D94" s="8" t="n">
        <v>6</v>
      </c>
      <c r="E94" s="8" t="n">
        <v>6</v>
      </c>
      <c r="F94" s="9" t="n">
        <v>0.64</v>
      </c>
      <c r="G94" s="8" t="n">
        <v>1</v>
      </c>
      <c r="H94" s="8" t="n">
        <v>10</v>
      </c>
      <c r="I94" s="8" t="n">
        <v>2</v>
      </c>
      <c r="J94" s="8" t="inlineStr">
        <is>
          <t>double-layer</t>
        </is>
      </c>
      <c r="K94" s="8" t="n">
        <v>2</v>
      </c>
      <c r="L94" s="8" t="n">
        <v>10</v>
      </c>
      <c r="M94" s="8" t="n">
        <v>166</v>
      </c>
      <c r="N94" s="8" t="n">
        <v>58</v>
      </c>
      <c r="O94" s="9">
        <f>Model!$B$4+Model!$B$5*((B94-1)/4)+Model!$B$6*((D94-4)/4)+Model!$B$7*((E94-1)/5)+Model!$B$8*(F94)+Model!$B$9*((G94)/2)+Model!$B$10*((H94-3)/11)+Model!$B$11*(IF(J94="double-layer",1,IF(J94="homophone",0.66,IF(J94="idiom",0.33,0))))+Model!$B$12*((5-K94)/4)</f>
        <v/>
      </c>
      <c r="P94" s="8" t="inlineStr">
        <is>
          <t>ramp</t>
        </is>
      </c>
      <c r="Q94" s="8" t="inlineStr"/>
    </row>
    <row r="95">
      <c r="A95" s="8" t="n">
        <v>94</v>
      </c>
      <c r="B95" s="8" t="n">
        <v>4</v>
      </c>
      <c r="C95" s="8" t="n">
        <v>4</v>
      </c>
      <c r="D95" s="8" t="n">
        <v>6</v>
      </c>
      <c r="E95" s="8" t="n">
        <v>6</v>
      </c>
      <c r="F95" s="9" t="n">
        <v>0.68</v>
      </c>
      <c r="G95" s="8" t="n">
        <v>1</v>
      </c>
      <c r="H95" s="8" t="n">
        <v>10</v>
      </c>
      <c r="I95" s="8" t="n">
        <v>2</v>
      </c>
      <c r="J95" s="8" t="inlineStr">
        <is>
          <t>double-layer</t>
        </is>
      </c>
      <c r="K95" s="8" t="n">
        <v>2</v>
      </c>
      <c r="L95" s="8" t="n">
        <v>10</v>
      </c>
      <c r="M95" s="8" t="n">
        <v>169</v>
      </c>
      <c r="N95" s="8" t="n">
        <v>59</v>
      </c>
      <c r="O95" s="9">
        <f>Model!$B$4+Model!$B$5*((B95-1)/4)+Model!$B$6*((D95-4)/4)+Model!$B$7*((E95-1)/5)+Model!$B$8*(F95)+Model!$B$9*((G95)/2)+Model!$B$10*((H95-3)/11)+Model!$B$11*(IF(J95="double-layer",1,IF(J95="homophone",0.66,IF(J95="idiom",0.33,0))))+Model!$B$12*((5-K95)/4)</f>
        <v/>
      </c>
      <c r="P95" s="8" t="inlineStr">
        <is>
          <t>ramp</t>
        </is>
      </c>
      <c r="Q95" s="8" t="inlineStr"/>
    </row>
    <row r="96">
      <c r="A96" s="8" t="n">
        <v>95</v>
      </c>
      <c r="B96" s="8" t="n">
        <v>5</v>
      </c>
      <c r="C96" s="8" t="n">
        <v>4</v>
      </c>
      <c r="D96" s="8" t="n">
        <v>6</v>
      </c>
      <c r="E96" s="8" t="n">
        <v>6</v>
      </c>
      <c r="F96" s="9" t="n">
        <v>0.68</v>
      </c>
      <c r="G96" s="8" t="n">
        <v>1</v>
      </c>
      <c r="H96" s="8" t="n">
        <v>10</v>
      </c>
      <c r="I96" s="8" t="n">
        <v>2</v>
      </c>
      <c r="J96" s="8" t="inlineStr">
        <is>
          <t>double-layer</t>
        </is>
      </c>
      <c r="K96" s="8" t="n">
        <v>2</v>
      </c>
      <c r="L96" s="8" t="n">
        <v>10</v>
      </c>
      <c r="M96" s="8" t="n">
        <v>193</v>
      </c>
      <c r="N96" s="8" t="n">
        <v>69</v>
      </c>
      <c r="O96" s="9">
        <f>Model!$B$4+Model!$B$5*((B96-1)/4)+Model!$B$6*((D96-4)/4)+Model!$B$7*((E96-1)/5)+Model!$B$8*(F96)+Model!$B$9*((G96)/2)+Model!$B$10*((H96-3)/11)+Model!$B$11*(IF(J96="double-layer",1,IF(J96="homophone",0.66,IF(J96="idiom",0.33,0))))+Model!$B$12*((5-K96)/4)</f>
        <v/>
      </c>
      <c r="P96" s="8" t="inlineStr">
        <is>
          <t>ramp</t>
        </is>
      </c>
      <c r="Q96" s="8" t="inlineStr"/>
    </row>
    <row r="97">
      <c r="A97" s="8" t="n">
        <v>96</v>
      </c>
      <c r="B97" s="8" t="n">
        <v>5</v>
      </c>
      <c r="C97" s="8" t="n">
        <v>4</v>
      </c>
      <c r="D97" s="8" t="n">
        <v>6</v>
      </c>
      <c r="E97" s="8" t="n">
        <v>6</v>
      </c>
      <c r="F97" s="9" t="n">
        <v>0.63</v>
      </c>
      <c r="G97" s="8" t="n">
        <v>1</v>
      </c>
      <c r="H97" s="8" t="n">
        <v>10</v>
      </c>
      <c r="I97" s="8" t="n">
        <v>2</v>
      </c>
      <c r="J97" s="8" t="inlineStr">
        <is>
          <t>double-layer</t>
        </is>
      </c>
      <c r="K97" s="8" t="n">
        <v>2</v>
      </c>
      <c r="L97" s="8" t="n">
        <v>10</v>
      </c>
      <c r="M97" s="8" t="n">
        <v>189</v>
      </c>
      <c r="N97" s="8" t="n">
        <v>68</v>
      </c>
      <c r="O97" s="9">
        <f>Model!$B$4+Model!$B$5*((B97-1)/4)+Model!$B$6*((D97-4)/4)+Model!$B$7*((E97-1)/5)+Model!$B$8*(F97)+Model!$B$9*((G97)/2)+Model!$B$10*((H97-3)/11)+Model!$B$11*(IF(J97="double-layer",1,IF(J97="homophone",0.66,IF(J97="idiom",0.33,0))))+Model!$B$12*((5-K97)/4)</f>
        <v/>
      </c>
      <c r="P97" s="8" t="inlineStr">
        <is>
          <t>ramp</t>
        </is>
      </c>
      <c r="Q97" s="8" t="inlineStr"/>
    </row>
    <row r="98">
      <c r="A98" s="8" t="n">
        <v>97</v>
      </c>
      <c r="B98" s="8" t="n">
        <v>5</v>
      </c>
      <c r="C98" s="8" t="n">
        <v>4</v>
      </c>
      <c r="D98" s="8" t="n">
        <v>6</v>
      </c>
      <c r="E98" s="8" t="n">
        <v>6</v>
      </c>
      <c r="F98" s="9" t="n">
        <v>0.67</v>
      </c>
      <c r="G98" s="8" t="n">
        <v>1</v>
      </c>
      <c r="H98" s="8" t="n">
        <v>10</v>
      </c>
      <c r="I98" s="8" t="n">
        <v>2</v>
      </c>
      <c r="J98" s="8" t="inlineStr">
        <is>
          <t>double-layer</t>
        </is>
      </c>
      <c r="K98" s="8" t="n">
        <v>1</v>
      </c>
      <c r="L98" s="8" t="n">
        <v>10</v>
      </c>
      <c r="M98" s="8" t="n">
        <v>193</v>
      </c>
      <c r="N98" s="8" t="n">
        <v>69</v>
      </c>
      <c r="O98" s="9">
        <f>Model!$B$4+Model!$B$5*((B98-1)/4)+Model!$B$6*((D98-4)/4)+Model!$B$7*((E98-1)/5)+Model!$B$8*(F98)+Model!$B$9*((G98)/2)+Model!$B$10*((H98-3)/11)+Model!$B$11*(IF(J98="double-layer",1,IF(J98="homophone",0.66,IF(J98="idiom",0.33,0))))+Model!$B$12*((5-K98)/4)</f>
        <v/>
      </c>
      <c r="P98" s="8" t="inlineStr">
        <is>
          <t>ramp</t>
        </is>
      </c>
      <c r="Q98" s="8" t="inlineStr"/>
    </row>
    <row r="99">
      <c r="A99" s="8" t="n">
        <v>98</v>
      </c>
      <c r="B99" s="8" t="n">
        <v>5</v>
      </c>
      <c r="C99" s="8" t="n">
        <v>4</v>
      </c>
      <c r="D99" s="8" t="n">
        <v>6</v>
      </c>
      <c r="E99" s="8" t="n">
        <v>6</v>
      </c>
      <c r="F99" s="9" t="n">
        <v>0.68</v>
      </c>
      <c r="G99" s="8" t="n">
        <v>1</v>
      </c>
      <c r="H99" s="8" t="n">
        <v>10</v>
      </c>
      <c r="I99" s="8" t="n">
        <v>2</v>
      </c>
      <c r="J99" s="8" t="inlineStr">
        <is>
          <t>double-layer</t>
        </is>
      </c>
      <c r="K99" s="8" t="n">
        <v>1</v>
      </c>
      <c r="L99" s="8" t="n">
        <v>10</v>
      </c>
      <c r="M99" s="8" t="n">
        <v>194</v>
      </c>
      <c r="N99" s="8" t="n">
        <v>70</v>
      </c>
      <c r="O99" s="9">
        <f>Model!$B$4+Model!$B$5*((B99-1)/4)+Model!$B$6*((D99-4)/4)+Model!$B$7*((E99-1)/5)+Model!$B$8*(F99)+Model!$B$9*((G99)/2)+Model!$B$10*((H99-3)/11)+Model!$B$11*(IF(J99="double-layer",1,IF(J99="homophone",0.66,IF(J99="idiom",0.33,0))))+Model!$B$12*((5-K99)/4)</f>
        <v/>
      </c>
      <c r="P99" s="8" t="inlineStr">
        <is>
          <t>ramp</t>
        </is>
      </c>
      <c r="Q99" s="8" t="inlineStr"/>
    </row>
    <row r="100">
      <c r="A100" s="8" t="n">
        <v>99</v>
      </c>
      <c r="B100" s="8" t="n">
        <v>5</v>
      </c>
      <c r="C100" s="8" t="n">
        <v>4</v>
      </c>
      <c r="D100" s="8" t="n">
        <v>6</v>
      </c>
      <c r="E100" s="8" t="n">
        <v>6</v>
      </c>
      <c r="F100" s="9" t="n">
        <v>0.6899999999999999</v>
      </c>
      <c r="G100" s="8" t="n">
        <v>1</v>
      </c>
      <c r="H100" s="8" t="n">
        <v>10</v>
      </c>
      <c r="I100" s="8" t="n">
        <v>2</v>
      </c>
      <c r="J100" s="8" t="inlineStr">
        <is>
          <t>double-layer</t>
        </is>
      </c>
      <c r="K100" s="8" t="n">
        <v>1</v>
      </c>
      <c r="L100" s="8" t="n">
        <v>10</v>
      </c>
      <c r="M100" s="8" t="n">
        <v>194</v>
      </c>
      <c r="N100" s="8" t="n">
        <v>70</v>
      </c>
      <c r="O100" s="9">
        <f>Model!$B$4+Model!$B$5*((B100-1)/4)+Model!$B$6*((D100-4)/4)+Model!$B$7*((E100-1)/5)+Model!$B$8*(F100)+Model!$B$9*((G100)/2)+Model!$B$10*((H100-3)/11)+Model!$B$11*(IF(J100="double-layer",1,IF(J100="homophone",0.66,IF(J100="idiom",0.33,0))))+Model!$B$12*((5-K100)/4)</f>
        <v/>
      </c>
      <c r="P100" s="8" t="inlineStr">
        <is>
          <t>ramp</t>
        </is>
      </c>
      <c r="Q100" s="8" t="inlineStr"/>
    </row>
    <row r="101">
      <c r="A101" s="5" t="n">
        <v>100</v>
      </c>
      <c r="B101" s="6" t="n">
        <v>5</v>
      </c>
      <c r="C101" s="6" t="n">
        <v>4</v>
      </c>
      <c r="D101" s="6" t="n">
        <v>6</v>
      </c>
      <c r="E101" s="6" t="n">
        <v>6</v>
      </c>
      <c r="F101" s="7" t="n">
        <v>0.7</v>
      </c>
      <c r="G101" s="6" t="n">
        <v>1</v>
      </c>
      <c r="H101" s="6" t="n">
        <v>10</v>
      </c>
      <c r="I101" s="6" t="n">
        <v>2</v>
      </c>
      <c r="J101" s="6" t="inlineStr">
        <is>
          <t>double-layer</t>
        </is>
      </c>
      <c r="K101" s="6" t="n">
        <v>1</v>
      </c>
      <c r="L101" s="6" t="n">
        <v>10</v>
      </c>
      <c r="M101" s="6" t="n">
        <v>195</v>
      </c>
      <c r="N101" s="6" t="n">
        <v>70</v>
      </c>
      <c r="O101" s="7">
        <f>Model!$B$4+Model!$B$5*((B101-1)/4)+Model!$B$6*((D101-4)/4)+Model!$B$7*((E101-1)/5)+Model!$B$8*(F101)+Model!$B$9*((G101)/2)+Model!$B$10*((H101-3)/11)+Model!$B$11*(IF(J101="double-layer",1,IF(J101="homophone",0.66,IF(J101="idiom",0.33,0))))+Model!$B$12*((5-K101)/4)</f>
        <v/>
      </c>
      <c r="P101" s="6" t="inlineStr">
        <is>
          <t>milestone</t>
        </is>
      </c>
      <c r="Q101" s="6" t="inlineStr">
        <is>
          <t>TOP-SPIKE (exam): 5 words, rarest lexicon, most opaque cartoon (P8=1)</t>
        </is>
      </c>
    </row>
  </sheetData>
  <conditionalFormatting sqref="O2:O10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2:B22"/>
  <sheetViews>
    <sheetView workbookViewId="0">
      <selection activeCell="A1" sqref="A1"/>
    </sheetView>
  </sheetViews>
  <sheetFormatPr baseColWidth="8" defaultRowHeight="15"/>
  <sheetData>
    <row r="22">
      <c r="B22" t="inlineStr">
        <is>
          <t>Spikes at every 10th level; reliefs at the level right after; sublinear trend underneath.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2026-07-07T22:16:44Z</dcterms:created>
  <dcterms:modified xsi:type="dcterms:W3CDTF">2026-07-07T22:16:44Z</dcterms:modified>
</cp:coreProperties>
</file>